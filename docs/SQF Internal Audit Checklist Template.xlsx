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Scoring Legend" sheetId="2" r:id="rId6"/>
    <sheet state="visible" name="Audit Info" sheetId="3" r:id="rId7"/>
    <sheet state="visible" name="Dashboard" sheetId="4" r:id="rId8"/>
    <sheet state="visible" name="Module 2 - System" sheetId="5" r:id="rId9"/>
    <sheet state="visible" name="Module 11 - GMP" sheetId="6" r:id="rId10"/>
    <sheet state="visible" name="Non-Conformance Log" sheetId="7" r:id="rId11"/>
    <sheet state="visible" name="(EXAMPLE) Audit Info" sheetId="8" r:id="rId12"/>
    <sheet state="visible" name="(EXAMPLE) Dashboard" sheetId="9" r:id="rId13"/>
    <sheet state="hidden" name="Claude Cache" sheetId="10" r:id="rId14"/>
    <sheet state="visible" name="(EXAMPLE) Scoring Legend" sheetId="11" r:id="rId15"/>
    <sheet state="visible" name="(EXAMPLE) Module 2 - System" sheetId="12" r:id="rId16"/>
    <sheet state="visible" name="(EXAMPLE) Module 11 - GMP" sheetId="13" r:id="rId17"/>
    <sheet state="visible" name="(EXAMPLE) Non-Conformance Log" sheetId="14" r:id="rId18"/>
  </sheets>
  <definedNames/>
  <calcPr/>
</workbook>
</file>

<file path=xl/sharedStrings.xml><?xml version="1.0" encoding="utf-8"?>
<sst xmlns="http://schemas.openxmlformats.org/spreadsheetml/2006/main" count="808" uniqueCount="282">
  <si>
    <t>SQF Internal Audit Checklist</t>
  </si>
  <si>
    <t>This template helps FSQA teams run certification-grade internal audits for SQF Edition 9 (Module 2 &amp; 11).</t>
  </si>
  <si>
    <t>How to use this template:</t>
  </si>
  <si>
    <t>Fill Out Audit Info</t>
  </si>
  <si>
    <t>Audit Details</t>
  </si>
  <si>
    <t>Code</t>
  </si>
  <si>
    <t>Start on the Audit Info tab and enter your facility details, audit scope, dates, and auditor.</t>
  </si>
  <si>
    <t>Information</t>
  </si>
  <si>
    <t>Meaning</t>
  </si>
  <si>
    <t>C</t>
  </si>
  <si>
    <t>Facility Name</t>
  </si>
  <si>
    <t>Complete the Checklists</t>
  </si>
  <si>
    <t>Compliant</t>
  </si>
  <si>
    <t>Facility Address</t>
  </si>
  <si>
    <t>MIN</t>
  </si>
  <si>
    <t>SQF Code Edition</t>
  </si>
  <si>
    <t>Minor Non-Conformance (1 pt)</t>
  </si>
  <si>
    <t>Go to Module 2 – System and Module 11 – GMP.</t>
  </si>
  <si>
    <t>SQF Module(s) Audited</t>
  </si>
  <si>
    <t>MAJ</t>
  </si>
  <si>
    <t>Audit Type (Internal / Mock / Pre-assessment)</t>
  </si>
  <si>
    <t>Major Non-Conformance (5 pts)</t>
  </si>
  <si>
    <t>Audit Scope (Products / Lines / Processes Covered)</t>
  </si>
  <si>
    <t>CRIT</t>
  </si>
  <si>
    <t>SQF Practitioner</t>
  </si>
  <si>
    <t>Critical Non-Conformance (50 pts)</t>
  </si>
  <si>
    <t>Audit Date(s)</t>
  </si>
  <si>
    <t>N/A</t>
  </si>
  <si>
    <t>Auditor Name(s)</t>
  </si>
  <si>
    <t>Not Applicable</t>
  </si>
  <si>
    <t>Auditor Role / Qualification</t>
  </si>
  <si>
    <t>For each line:</t>
  </si>
  <si>
    <t>Plant Contact / FSQA Lead</t>
  </si>
  <si>
    <t>Shift Audited (Day / Night / Both)</t>
  </si>
  <si>
    <t>• Select a Status (C, MIN, MAJ, CRIT, N/A)</t>
  </si>
  <si>
    <t>Number of Employees on Shift</t>
  </si>
  <si>
    <t>Previous SQF Audit Date</t>
  </si>
  <si>
    <t>• Select an Evidence Type (R, D, O, I)</t>
  </si>
  <si>
    <t>Overall Audit Objective</t>
  </si>
  <si>
    <t>• Write brief Evidence / Observations</t>
  </si>
  <si>
    <t>• If not compliant, select a Root Cause</t>
  </si>
  <si>
    <t>Log Non-Conformances</t>
  </si>
  <si>
    <t>Record all MIN / MAJ / CRIT items in the Non-Conformance Log and track CAPAs.</t>
  </si>
  <si>
    <t>Review the Dashboard</t>
  </si>
  <si>
    <t>Open the Dashboard tab to see overall compliance, gaps, and GMP risk areas. Charts update automatically.</t>
  </si>
  <si>
    <t>Use Example Tabs</t>
  </si>
  <si>
    <t>The (EXAMPLE) sheets show a completed audit so you can see how entries and dashboards should look. Use them as a reference or for training.</t>
  </si>
  <si>
    <t xml:space="preserve">  </t>
  </si>
  <si>
    <t>Clause</t>
  </si>
  <si>
    <t>GMP Area</t>
  </si>
  <si>
    <t>Section</t>
  </si>
  <si>
    <t>Status</t>
  </si>
  <si>
    <t>Evidence Type</t>
  </si>
  <si>
    <t>Requirement</t>
  </si>
  <si>
    <t>Observations</t>
  </si>
  <si>
    <t>Root Cause</t>
  </si>
  <si>
    <t>11.1</t>
  </si>
  <si>
    <t>Site &amp; premises</t>
  </si>
  <si>
    <t>2.1.1.1</t>
  </si>
  <si>
    <t>2.1 Management Commitment</t>
  </si>
  <si>
    <t>Senior management commitment</t>
  </si>
  <si>
    <t>11.2</t>
  </si>
  <si>
    <t>Personnel hygiene</t>
  </si>
  <si>
    <t>2.1.1.2</t>
  </si>
  <si>
    <t>Food safety policy</t>
  </si>
  <si>
    <t>11.3</t>
  </si>
  <si>
    <t>Water / Air / Ice</t>
  </si>
  <si>
    <t>2.1.1.3</t>
  </si>
  <si>
    <t>Org responsibilities</t>
  </si>
  <si>
    <t>11.4</t>
  </si>
  <si>
    <t>Cleaning &amp; sanitation</t>
  </si>
  <si>
    <t>2.1.1.4</t>
  </si>
  <si>
    <t>SQF practitioner</t>
  </si>
  <si>
    <t>11.5</t>
  </si>
  <si>
    <t>Pest control</t>
  </si>
  <si>
    <t>2.2.1.1</t>
  </si>
  <si>
    <t>2.2 Document Control &amp; Records</t>
  </si>
  <si>
    <t>Document control</t>
  </si>
  <si>
    <t>11.6</t>
  </si>
  <si>
    <t>Equipment &amp; maintenance</t>
  </si>
  <si>
    <t>2.2.1.2</t>
  </si>
  <si>
    <t>Version control</t>
  </si>
  <si>
    <t>11.7</t>
  </si>
  <si>
    <t>Calibration</t>
  </si>
  <si>
    <t>2.2.2.1</t>
  </si>
  <si>
    <t>Record control</t>
  </si>
  <si>
    <t>11.8</t>
  </si>
  <si>
    <t>Glass &amp; brittle plastics</t>
  </si>
  <si>
    <t>2.2.2.2</t>
  </si>
  <si>
    <t>Record retention</t>
  </si>
  <si>
    <t>2.3.1.1</t>
  </si>
  <si>
    <t>2.3 Specifications &amp; Supplier Management</t>
  </si>
  <si>
    <t>Specifications</t>
  </si>
  <si>
    <t>11.9</t>
  </si>
  <si>
    <t>Foreign material control</t>
  </si>
  <si>
    <t>2.3.2.1</t>
  </si>
  <si>
    <t>Supplier approval</t>
  </si>
  <si>
    <t>11.10</t>
  </si>
  <si>
    <t>Allergen management</t>
  </si>
  <si>
    <t>2.3.2.2</t>
  </si>
  <si>
    <t>Supplier verification</t>
  </si>
  <si>
    <t>11.11</t>
  </si>
  <si>
    <t>Chemical control</t>
  </si>
  <si>
    <t>Description</t>
  </si>
  <si>
    <t>2.3.2.3</t>
  </si>
  <si>
    <t>Severity</t>
  </si>
  <si>
    <t>Supplier risk</t>
  </si>
  <si>
    <t>11.12</t>
  </si>
  <si>
    <t>Waste management</t>
  </si>
  <si>
    <t>Containment</t>
  </si>
  <si>
    <t>CAPA Ref</t>
  </si>
  <si>
    <t>2.4.1.1</t>
  </si>
  <si>
    <t>2.4 Food Safety System (HACCP)</t>
  </si>
  <si>
    <t>HACCP team</t>
  </si>
  <si>
    <t>11.13</t>
  </si>
  <si>
    <t>Rework</t>
  </si>
  <si>
    <r>
      <rPr>
        <rFont val="Calibri"/>
        <sz val="14.0"/>
      </rPr>
      <t xml:space="preserve">Click to watch </t>
    </r>
    <r>
      <rPr>
        <rFont val="Calibri"/>
        <color rgb="FF0B5394"/>
        <sz val="14.0"/>
        <u/>
      </rPr>
      <t>Demo Video</t>
    </r>
    <r>
      <rPr>
        <rFont val="Calibri"/>
        <sz val="14.0"/>
      </rPr>
      <t xml:space="preserve"> (60 seconds)</t>
    </r>
  </si>
  <si>
    <t>2.4.2.1</t>
  </si>
  <si>
    <t>11.14</t>
  </si>
  <si>
    <t>Product description</t>
  </si>
  <si>
    <t>Storage &amp; transport</t>
  </si>
  <si>
    <t>2.4.3.1</t>
  </si>
  <si>
    <t>11.15</t>
  </si>
  <si>
    <t>Product release</t>
  </si>
  <si>
    <t>Flow diagram</t>
  </si>
  <si>
    <r>
      <rPr>
        <rFont val="Calibri"/>
        <sz val="14.0"/>
      </rPr>
      <t xml:space="preserve">Schedule a 1 on demo here: </t>
    </r>
    <r>
      <rPr>
        <rFont val="Calibri"/>
        <color rgb="FF0B5394"/>
        <sz val="14.0"/>
        <u/>
      </rPr>
      <t>Schedule on Calendly</t>
    </r>
  </si>
  <si>
    <t>11.16</t>
  </si>
  <si>
    <t>2.4.3.2</t>
  </si>
  <si>
    <t>Labeling &amp; verification</t>
  </si>
  <si>
    <t>Hazard analysis</t>
  </si>
  <si>
    <r>
      <rPr>
        <rFont val="Calibri"/>
        <sz val="14.0"/>
      </rPr>
      <t xml:space="preserve">Click to watch </t>
    </r>
    <r>
      <rPr>
        <rFont val="Calibri"/>
        <color rgb="FF0B5394"/>
        <sz val="14.0"/>
        <u/>
      </rPr>
      <t>Demo Video</t>
    </r>
    <r>
      <rPr>
        <rFont val="Calibri"/>
        <sz val="14.0"/>
      </rPr>
      <t xml:space="preserve"> (60 seconds)</t>
    </r>
  </si>
  <si>
    <t>2.4.3.3</t>
  </si>
  <si>
    <t>CCPs</t>
  </si>
  <si>
    <t>2.4.3.4</t>
  </si>
  <si>
    <t>11.17</t>
  </si>
  <si>
    <t>Monitoring</t>
  </si>
  <si>
    <t>Environmental monitoring</t>
  </si>
  <si>
    <r>
      <rPr>
        <rFont val="Calibri"/>
        <sz val="14.0"/>
      </rPr>
      <t xml:space="preserve">Click to watch </t>
    </r>
    <r>
      <rPr>
        <rFont val="Calibri"/>
        <color rgb="FF0B5394"/>
        <sz val="14.0"/>
        <u/>
      </rPr>
      <t>Demo Video</t>
    </r>
    <r>
      <rPr>
        <rFont val="Calibri"/>
        <sz val="14.0"/>
      </rPr>
      <t xml:space="preserve"> (60 seconds)</t>
    </r>
  </si>
  <si>
    <r>
      <rPr>
        <rFont val="Calibri"/>
        <sz val="14.0"/>
      </rPr>
      <t xml:space="preserve">Schedule a 1 on demo here: </t>
    </r>
    <r>
      <rPr>
        <rFont val="Calibri"/>
        <color rgb="FF0B5394"/>
        <sz val="14.0"/>
        <u/>
      </rPr>
      <t>Schedule on Calendly</t>
    </r>
  </si>
  <si>
    <t>2.4.3.5</t>
  </si>
  <si>
    <t>Corrective actions</t>
  </si>
  <si>
    <r>
      <rPr>
        <rFont val="Calibri"/>
        <sz val="14.0"/>
      </rPr>
      <t xml:space="preserve">Schedule a 1 on demo here: </t>
    </r>
    <r>
      <rPr>
        <rFont val="Calibri"/>
        <color rgb="FF0B5394"/>
        <sz val="14.0"/>
        <u/>
      </rPr>
      <t>Schedule on Calendly</t>
    </r>
  </si>
  <si>
    <t>SQF Internal Audit Dashboard</t>
  </si>
  <si>
    <t>2.4.3.6</t>
  </si>
  <si>
    <r>
      <rPr>
        <rFont val="Calibri"/>
        <sz val="14.0"/>
      </rPr>
      <t xml:space="preserve">Click to watch </t>
    </r>
    <r>
      <rPr>
        <rFont val="Calibri"/>
        <color rgb="FF0B5394"/>
        <sz val="14.0"/>
        <u/>
      </rPr>
      <t>Demo Video</t>
    </r>
    <r>
      <rPr>
        <rFont val="Calibri"/>
        <sz val="14.0"/>
      </rPr>
      <t xml:space="preserve"> (60 seconds)</t>
    </r>
  </si>
  <si>
    <t>Verification/validation</t>
  </si>
  <si>
    <t>2.5.1.1</t>
  </si>
  <si>
    <t>2.5 Verification, Validation &amp; Improvement</t>
  </si>
  <si>
    <r>
      <rPr>
        <rFont val="Calibri"/>
        <sz val="14.0"/>
      </rPr>
      <t xml:space="preserve">Schedule a 1 on demo here: </t>
    </r>
    <r>
      <rPr>
        <rFont val="Calibri"/>
        <color rgb="FF0B5394"/>
        <sz val="14.0"/>
        <u/>
      </rPr>
      <t>Schedule on Calendly</t>
    </r>
  </si>
  <si>
    <t>Verification program</t>
  </si>
  <si>
    <t>2.5.1.2</t>
  </si>
  <si>
    <t>SQF Internal Audit Dashboard (Dynamic)</t>
  </si>
  <si>
    <t>Validation</t>
  </si>
  <si>
    <t>Column 3</t>
  </si>
  <si>
    <t>Overall Status Distribution</t>
  </si>
  <si>
    <t>Column 1</t>
  </si>
  <si>
    <t>Module 2 Compliance by Section (% C of (C+NC))</t>
  </si>
  <si>
    <t>Column 2</t>
  </si>
  <si>
    <t>2.5.4.1</t>
  </si>
  <si>
    <t>Module 11 GMP Compliance by Area (% C of (C+NC))</t>
  </si>
  <si>
    <t>Internal audits</t>
  </si>
  <si>
    <t>Count</t>
  </si>
  <si>
    <t>2.5.4.2</t>
  </si>
  <si>
    <t>% Compliant</t>
  </si>
  <si>
    <t>Full coverage</t>
  </si>
  <si>
    <t>NC Count</t>
  </si>
  <si>
    <t>2.5.5.1</t>
  </si>
  <si>
    <t>Management review</t>
  </si>
  <si>
    <t>2.6.1.1</t>
  </si>
  <si>
    <t>2.6 Traceability &amp; Recall</t>
  </si>
  <si>
    <t>Traceability</t>
  </si>
  <si>
    <t>2.6.1.2</t>
  </si>
  <si>
    <t>4-hour trace</t>
  </si>
  <si>
    <t>2.6.2.1</t>
  </si>
  <si>
    <t>Recall procedure</t>
  </si>
  <si>
    <t>Field</t>
  </si>
  <si>
    <t>Value</t>
  </si>
  <si>
    <t>2.6.2.2</t>
  </si>
  <si>
    <t>Blue Ridge Foods, Inc. – Chattanooga Plant</t>
  </si>
  <si>
    <t>Mock recall</t>
  </si>
  <si>
    <t>Site Address</t>
  </si>
  <si>
    <t>4100 Industrial Park Dr, Chattanooga, TN 37416</t>
  </si>
  <si>
    <t>SQF Site Code</t>
  </si>
  <si>
    <t>2.7.1.1</t>
  </si>
  <si>
    <t>2.7 Customer Complaints &amp; CAPA</t>
  </si>
  <si>
    <t>BRF-CHA-041</t>
  </si>
  <si>
    <t>Complaints procedure</t>
  </si>
  <si>
    <t>Food Sector Category</t>
  </si>
  <si>
    <t>Food Manufacturing (FSC 12 – Low Acid Canned Foods, Mixed)</t>
  </si>
  <si>
    <t>SQF Edition</t>
  </si>
  <si>
    <t>2.7.2.1</t>
  </si>
  <si>
    <t>Edition 9</t>
  </si>
  <si>
    <t>Complaint trending</t>
  </si>
  <si>
    <t>Modules Audited</t>
  </si>
  <si>
    <t>Module 2 (System Elements), Module 11 (GMPs)</t>
  </si>
  <si>
    <t>Audit Type</t>
  </si>
  <si>
    <t>Internal</t>
  </si>
  <si>
    <t>2.7.3.1</t>
  </si>
  <si>
    <t>Audit Dates</t>
  </si>
  <si>
    <t>2026-01-08 to 2026-01-09</t>
  </si>
  <si>
    <t>CAPA</t>
  </si>
  <si>
    <t>Auditor</t>
  </si>
  <si>
    <t>J. Carter (Internal Lead Auditor)</t>
  </si>
  <si>
    <t>Auditees</t>
  </si>
  <si>
    <t>S. Nguyen (SQF Practitioner), Ops Supervisors, Sanitation Lead</t>
  </si>
  <si>
    <t>Shifts Covered</t>
  </si>
  <si>
    <t>2.8.1.1</t>
  </si>
  <si>
    <t>2.8 Food Defense &amp; Food Fraud</t>
  </si>
  <si>
    <t>1st / 2nd</t>
  </si>
  <si>
    <t>Food defense plan</t>
  </si>
  <si>
    <t>Processes Audited</t>
  </si>
  <si>
    <t>Receiving, RTE assembly, thermal processing, packaging, warehouse</t>
  </si>
  <si>
    <t>Products Audited</t>
  </si>
  <si>
    <t>Ready-to-eat meal kits; cooked proteins; sauce packets</t>
  </si>
  <si>
    <t>2.8.1.2</t>
  </si>
  <si>
    <t>Defense vulnerability</t>
  </si>
  <si>
    <t>2.8.2.1</t>
  </si>
  <si>
    <t>Food fraud risk</t>
  </si>
  <si>
    <t>2.8.2.2</t>
  </si>
  <si>
    <t>Fraud mitigation</t>
  </si>
  <si>
    <t>2.9.1.1</t>
  </si>
  <si>
    <t>2.9 Training</t>
  </si>
  <si>
    <t>Training program</t>
  </si>
  <si>
    <t>2.9.2.1</t>
  </si>
  <si>
    <t>Job training</t>
  </si>
  <si>
    <t>2.9.2.2</t>
  </si>
  <si>
    <t>Training effectiveness</t>
  </si>
  <si>
    <t>⚠️ SHEET RESERVED FOR =CLAUDE... FUNCTIONS. DO NOT EDIT! ⚠️</t>
  </si>
  <si>
    <t>Key</t>
  </si>
  <si>
    <t>Expiration</t>
  </si>
  <si>
    <t>R</t>
  </si>
  <si>
    <t>Documented and effectively implemented across sampled departments.</t>
  </si>
  <si>
    <t>Total Items Audited (non-blank status)</t>
  </si>
  <si>
    <t>D</t>
  </si>
  <si>
    <t>Reviewed records; implementation consistent with documented procedure.</t>
  </si>
  <si>
    <t>Required verification not performed at defined frequency; corrective action needed.</t>
  </si>
  <si>
    <t>EQP</t>
  </si>
  <si>
    <t>% Compliant (C / (C+NC))</t>
  </si>
  <si>
    <t>O</t>
  </si>
  <si>
    <t>Minor GMP gap observed; corrected during audit and documented in log.</t>
  </si>
  <si>
    <t>SUP</t>
  </si>
  <si>
    <t>I</t>
  </si>
  <si>
    <t>System exists but not fully implemented; multiple sampled records missing or incomplete.</t>
  </si>
  <si>
    <t>Not applicable for site scope; justification documented.</t>
  </si>
  <si>
    <t>PRC</t>
  </si>
  <si>
    <t>Area inspected; conditions and records meet GMP requirements for sampled lines.</t>
  </si>
  <si>
    <t>SQF Internal Audit Dashboard Example</t>
  </si>
  <si>
    <t>Implementation generally effective; one record missing signature/date in sample.</t>
  </si>
  <si>
    <r>
      <rPr>
        <rFont val="Calibri"/>
        <sz val="14.0"/>
      </rPr>
      <t xml:space="preserve">Click to watch </t>
    </r>
    <r>
      <rPr>
        <rFont val="Calibri"/>
        <color rgb="FF0B5394"/>
        <sz val="14.0"/>
        <u/>
      </rPr>
      <t>Demo Video</t>
    </r>
    <r>
      <rPr>
        <rFont val="Calibri"/>
        <sz val="14.0"/>
      </rPr>
      <t xml:space="preserve"> (60 seconds)</t>
    </r>
  </si>
  <si>
    <t>Significant GMP deficiency with potential to impact product safety; CAPA required.</t>
  </si>
  <si>
    <r>
      <rPr>
        <rFont val="Calibri"/>
        <sz val="14.0"/>
      </rPr>
      <t xml:space="preserve">Schedule a 1 on demo here: </t>
    </r>
    <r>
      <rPr>
        <rFont val="Calibri"/>
        <color rgb="FF0B5394"/>
        <sz val="14.0"/>
        <u/>
      </rPr>
      <t>Schedule on Calendly</t>
    </r>
  </si>
  <si>
    <t>SYS</t>
  </si>
  <si>
    <t>Supplier risk ratings exist; one supplier change not reflected in current risk register revision.</t>
  </si>
  <si>
    <t>TRN</t>
  </si>
  <si>
    <t>Non-Conformances (MIN+MAJ+CRIT)</t>
  </si>
  <si>
    <t>PPL</t>
  </si>
  <si>
    <r>
      <rPr>
        <rFont val="Calibri"/>
        <sz val="14.0"/>
      </rPr>
      <t xml:space="preserve">Click to watch </t>
    </r>
    <r>
      <rPr>
        <rFont val="Calibri"/>
        <color rgb="FF0B5394"/>
        <sz val="14.0"/>
        <u/>
      </rPr>
      <t>Demo Video</t>
    </r>
    <r>
      <rPr>
        <rFont val="Calibri"/>
        <sz val="14.0"/>
      </rPr>
      <t xml:space="preserve"> (60 seconds)</t>
    </r>
  </si>
  <si>
    <r>
      <rPr>
        <rFont val="Calibri"/>
        <sz val="14.0"/>
      </rPr>
      <t xml:space="preserve">Schedule a 1 on demo here: </t>
    </r>
    <r>
      <rPr>
        <rFont val="Calibri"/>
        <color rgb="FF0B5394"/>
        <sz val="14.0"/>
        <u/>
      </rPr>
      <t>Schedule on Calendly</t>
    </r>
  </si>
  <si>
    <t>Glass register current; one quarterly inspection record missing inspector initials.</t>
  </si>
  <si>
    <t>Allergen changeover verification records incomplete for 2 of 6 reviewed changeovers; label control effective but documentation gap is systemic.</t>
  </si>
  <si>
    <t>Observed practice aligns with program requirements; objective evidence available.</t>
  </si>
  <si>
    <t>Internal audit program current; annual schedule and completed audits verified.</t>
  </si>
  <si>
    <r>
      <rPr>
        <rFont val="Calibri"/>
        <sz val="14.0"/>
      </rPr>
      <t xml:space="preserve">Click to watch </t>
    </r>
    <r>
      <rPr>
        <rFont val="Calibri"/>
        <color rgb="FF0B5394"/>
        <sz val="14.0"/>
        <u/>
      </rPr>
      <t>Demo Video</t>
    </r>
    <r>
      <rPr>
        <rFont val="Calibri"/>
        <sz val="14.0"/>
      </rPr>
      <t xml:space="preserve"> (60 seconds)</t>
    </r>
  </si>
  <si>
    <t>Mock recall completed; opportunity: improve lot-to-ship trace documentation for one finished good SKU.</t>
  </si>
  <si>
    <r>
      <rPr>
        <rFont val="Calibri"/>
        <sz val="14.0"/>
      </rPr>
      <t xml:space="preserve">Schedule a 1 on demo here: </t>
    </r>
    <r>
      <rPr>
        <rFont val="Calibri"/>
        <color rgb="FF0B5394"/>
        <sz val="14.0"/>
        <u/>
      </rPr>
      <t>Schedule on Calendly</t>
    </r>
  </si>
  <si>
    <t>Minor inconsistency between revision history and distribution list.</t>
  </si>
  <si>
    <t>Food fraud vulnerability assessment incomplete for 2 high-risk ingredients; mitigation actions not documented.</t>
  </si>
  <si>
    <t>Training effectiveness checks documented, but 1 role-based competency sign-off missing for new hire sample.</t>
  </si>
  <si>
    <t>Food fraud vulnerability assessment incomplete for high-risk ingredients; mitigation not documented.</t>
  </si>
  <si>
    <t>Initiated interim controls; placed affected ingredients on enhanced COA review pending VACCP update.</t>
  </si>
  <si>
    <t>CAPA-2026-007</t>
  </si>
  <si>
    <t>One competency sign-off missing in training effectiveness verification sample.</t>
  </si>
  <si>
    <t>Supervisor completed sign-off and retrained on onboarding checklist requirements.</t>
  </si>
  <si>
    <t>CAPA-2026-008</t>
  </si>
  <si>
    <t>Allergen changeover verification records incomplete for sampled changeovers.</t>
  </si>
  <si>
    <t>Held affected lots pending record reconciliation; performed immediate sanitation verification and documented.</t>
  </si>
  <si>
    <t>CAPA-2026-009</t>
  </si>
  <si>
    <t>Glass inspection record missing initials for one quarter.</t>
  </si>
  <si>
    <t>Completed retrospective verification; reissued inspection form with required fields highlighted.</t>
  </si>
  <si>
    <t>CAPA-2026-010</t>
  </si>
  <si>
    <r>
      <rPr>
        <rFont val="Calibri"/>
        <sz val="14.0"/>
      </rPr>
      <t xml:space="preserve">Click to watch </t>
    </r>
    <r>
      <rPr>
        <rFont val="Calibri"/>
        <color rgb="FF0B5394"/>
        <sz val="14.0"/>
        <u/>
      </rPr>
      <t>Demo Video</t>
    </r>
    <r>
      <rPr>
        <rFont val="Calibri"/>
        <sz val="14.0"/>
      </rPr>
      <t xml:space="preserve"> (60 seconds)</t>
    </r>
  </si>
  <si>
    <r>
      <rPr>
        <rFont val="Calibri"/>
        <sz val="14.0"/>
      </rPr>
      <t xml:space="preserve">Schedule a 1 on demo here: </t>
    </r>
    <r>
      <rPr>
        <rFont val="Calibri"/>
        <color rgb="FF0B5394"/>
        <sz val="14.0"/>
        <u/>
      </rPr>
      <t>Schedule on Calendly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</si>
</sst>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1.0"/>
      <color rgb="FF164D5E"/>
      <name val="Roboto"/>
    </font>
    <font>
      <sz val="11.0"/>
      <color rgb="FF434343"/>
      <name val="Roboto"/>
    </font>
    <font>
      <color theme="1"/>
      <name val="Calibri"/>
      <scheme val="minor"/>
    </font>
    <font>
      <color theme="1"/>
      <name val="Arial"/>
    </font>
    <font>
      <b/>
      <sz val="11.0"/>
      <color rgb="FF434343"/>
      <name val="Roboto"/>
    </font>
    <font>
      <u/>
      <sz val="14.0"/>
      <color rgb="FF0000FF"/>
      <name val="Calibri"/>
    </font>
    <font>
      <b/>
      <sz val="22.0"/>
      <color rgb="FF164D5E"/>
      <name val="Roboto"/>
    </font>
    <font>
      <b/>
      <sz val="18.0"/>
      <color rgb="FF164D5E"/>
      <name val="Roboto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3" numFmtId="9" xfId="0" applyAlignment="1" applyFont="1" applyNumberFormat="1">
      <alignment shrinkToFit="0" vertical="center" wrapText="0"/>
    </xf>
    <xf borderId="0" fillId="0" fontId="9" numFmtId="9" xfId="0" applyAlignment="1" applyFont="1" applyNumberFormat="1">
      <alignment shrinkToFit="0" vertical="center" wrapText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shrinkToFit="0" wrapText="1"/>
    </xf>
    <xf borderId="0" fillId="0" fontId="10" numFmtId="0" xfId="0" applyFont="1"/>
    <xf borderId="0" fillId="0" fontId="10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164D5E"/>
          <bgColor rgb="FF164D5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64D5E"/>
        </left>
        <right style="thin">
          <color rgb="FF164D5E"/>
        </right>
        <top style="thin">
          <color rgb="FF164D5E"/>
        </top>
        <bottom style="thin">
          <color rgb="FF164D5E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rgb="FF164D5E"/>
        </left>
        <right style="thin">
          <color rgb="FF164D5E"/>
        </right>
        <top style="thin">
          <color rgb="FF164D5E"/>
        </top>
        <bottom style="thin">
          <color rgb="FF164D5E"/>
        </bottom>
      </border>
    </dxf>
    <dxf>
      <font/>
      <fill>
        <patternFill patternType="solid">
          <fgColor rgb="FFC5D3D7"/>
          <bgColor rgb="FFC5D3D7"/>
        </patternFill>
      </fill>
      <border/>
    </dxf>
  </dxfs>
  <tableStyles count="16">
    <tableStyle count="4" pivot="0" name="Audit 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oring Lege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ule 11 - GM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ule 2 - Sys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n-Conformance Log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Dashboard-style">
      <tableStyleElement dxfId="1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EXAMPLE) Audit 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EXAMPLE) Scoring Lege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EXAMPLE) Module 2 - Sys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EXAMPLE) Module 11 - GM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(EXAMPLE) Dashboard-style">
      <tableStyleElement dxfId="1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(EXAMPLE) 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EXAMPLE) Dashboar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EXAMPLE) Non-Conformance Log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Overall Status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Dashboard!$C$47</c:f>
            </c:strRef>
          </c:tx>
          <c:dPt>
            <c:idx val="0"/>
            <c:spPr>
              <a:solidFill>
                <a:srgbClr val="164D5E"/>
              </a:solidFill>
            </c:spPr>
          </c:dPt>
          <c:dPt>
            <c:idx val="1"/>
            <c:spPr>
              <a:solidFill>
                <a:srgbClr val="45818E"/>
              </a:solidFill>
            </c:spPr>
          </c:dPt>
          <c:dPt>
            <c:idx val="2"/>
            <c:spPr>
              <a:solidFill>
                <a:srgbClr val="2BADD4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Dashboard!$B$48:$B$52</c:f>
            </c:strRef>
          </c:cat>
          <c:val>
            <c:numRef>
              <c:f>Dashboard!$C$48:$C$52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Module 2: Where Are Our Gaps? (NC Count)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Dashboard!$G$47</c:f>
            </c:strRef>
          </c:tx>
          <c:spPr>
            <a:solidFill>
              <a:srgbClr val="164D5E"/>
            </a:solidFill>
            <a:ln cmpd="sng">
              <a:noFill/>
            </a:ln>
          </c:spPr>
          <c:dPt>
            <c:idx val="5"/>
            <c:spPr>
              <a:solidFill>
                <a:srgbClr val="164D5E"/>
              </a:solidFill>
              <a:ln cmpd="sng">
                <a:noFill/>
              </a:ln>
            </c:spPr>
          </c:dPt>
          <c:cat>
            <c:strRef>
              <c:f>Dashboard!$E$48:$E$56</c:f>
            </c:strRef>
          </c:cat>
          <c:val>
            <c:numRef>
              <c:f>Dashboard!$G$48:$G$56</c:f>
              <c:numCache/>
            </c:numRef>
          </c:val>
        </c:ser>
        <c:axId val="766362694"/>
        <c:axId val="1497958344"/>
      </c:barChart>
      <c:catAx>
        <c:axId val="766362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958344"/>
      </c:catAx>
      <c:valAx>
        <c:axId val="1497958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NC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362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Module 2: % Compliant by Section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Dashboard!$F$47</c:f>
            </c:strRef>
          </c:tx>
          <c:spPr>
            <a:ln cmpd="sng">
              <a:solidFill>
                <a:srgbClr val="164D5E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Dashboard!$E$48:$E$56</c:f>
            </c:strRef>
          </c:cat>
          <c:val>
            <c:numRef>
              <c:f>Dashboard!$F$48:$F$56</c:f>
              <c:numCache/>
            </c:numRef>
          </c:val>
          <c:smooth val="0"/>
        </c:ser>
        <c:axId val="634281452"/>
        <c:axId val="220103131"/>
      </c:lineChart>
      <c:catAx>
        <c:axId val="634281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103131"/>
      </c:catAx>
      <c:valAx>
        <c:axId val="22010313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Compliant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2814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Module 11: Where Are Our GMP Gaps? (NC Count)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Dashboard!$K$47</c:f>
            </c:strRef>
          </c:tx>
          <c:spPr>
            <a:solidFill>
              <a:srgbClr val="164D5E"/>
            </a:solidFill>
            <a:ln cmpd="sng">
              <a:noFill/>
            </a:ln>
          </c:spPr>
          <c:cat>
            <c:strRef>
              <c:f>Dashboard!$I$48:$I$64</c:f>
            </c:strRef>
          </c:cat>
          <c:val>
            <c:numRef>
              <c:f>Dashboard!$K$48:$K$64</c:f>
              <c:numCache/>
            </c:numRef>
          </c:val>
        </c:ser>
        <c:axId val="2105817886"/>
        <c:axId val="1249027244"/>
      </c:barChart>
      <c:catAx>
        <c:axId val="2105817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GMP 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9027244"/>
      </c:catAx>
      <c:valAx>
        <c:axId val="1249027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NC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817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Module 11: % Compliant by GMP Area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Dashboard!$J$47</c:f>
            </c:strRef>
          </c:tx>
          <c:spPr>
            <a:solidFill>
              <a:srgbClr val="164D5E"/>
            </a:solidFill>
            <a:ln cmpd="sng">
              <a:noFill/>
            </a:ln>
          </c:spPr>
          <c:cat>
            <c:strRef>
              <c:f>Dashboard!$I$48:$I$64</c:f>
            </c:strRef>
          </c:cat>
          <c:val>
            <c:numRef>
              <c:f>Dashboard!$J$48:$J$64</c:f>
              <c:numCache/>
            </c:numRef>
          </c:val>
        </c:ser>
        <c:axId val="369303677"/>
        <c:axId val="162828596"/>
      </c:barChart>
      <c:catAx>
        <c:axId val="369303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28596"/>
      </c:catAx>
      <c:valAx>
        <c:axId val="16282859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Compliant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3036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Overall Status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'(EXAMPLE) Dashboard'!$B$47</c:f>
            </c:strRef>
          </c:tx>
          <c:dPt>
            <c:idx val="0"/>
            <c:spPr>
              <a:solidFill>
                <a:srgbClr val="164D5E"/>
              </a:solidFill>
            </c:spPr>
          </c:dPt>
          <c:dPt>
            <c:idx val="1"/>
            <c:spPr>
              <a:solidFill>
                <a:srgbClr val="45818E"/>
              </a:solidFill>
            </c:spPr>
          </c:dPt>
          <c:dPt>
            <c:idx val="2"/>
            <c:spPr>
              <a:solidFill>
                <a:srgbClr val="2BADD4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'(EXAMPLE) Dashboard'!$A$48:$A$52</c:f>
            </c:strRef>
          </c:cat>
          <c:val>
            <c:numRef>
              <c:f>'(EXAMPLE) Dashboard'!$B$48:$B$52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Module 2: Where Are Our Gaps? (NC Count)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'(EXAMPLE) Dashboard'!$F$47</c:f>
            </c:strRef>
          </c:tx>
          <c:spPr>
            <a:solidFill>
              <a:srgbClr val="164D5E"/>
            </a:solidFill>
            <a:ln cmpd="sng">
              <a:noFill/>
            </a:ln>
          </c:spPr>
          <c:dPt>
            <c:idx val="5"/>
            <c:spPr>
              <a:solidFill>
                <a:srgbClr val="164D5E"/>
              </a:solidFill>
              <a:ln cmpd="sng">
                <a:noFill/>
              </a:ln>
            </c:spPr>
          </c:dPt>
          <c:cat>
            <c:strRef>
              <c:f>'(EXAMPLE) Dashboard'!$D$48:$D$56</c:f>
            </c:strRef>
          </c:cat>
          <c:val>
            <c:numRef>
              <c:f>'(EXAMPLE) Dashboard'!$F$48:$F$56</c:f>
              <c:numCache/>
            </c:numRef>
          </c:val>
        </c:ser>
        <c:axId val="1639994095"/>
        <c:axId val="864311443"/>
      </c:barChart>
      <c:catAx>
        <c:axId val="1639994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311443"/>
      </c:catAx>
      <c:valAx>
        <c:axId val="864311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NC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994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Module 2: % Compliant by Section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'(EXAMPLE) Dashboard'!$E$47</c:f>
            </c:strRef>
          </c:tx>
          <c:spPr>
            <a:ln cmpd="sng">
              <a:solidFill>
                <a:srgbClr val="164D5E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'(EXAMPLE) Dashboard'!$D$48:$D$56</c:f>
            </c:strRef>
          </c:cat>
          <c:val>
            <c:numRef>
              <c:f>'(EXAMPLE) Dashboard'!$E$48:$E$56</c:f>
              <c:numCache/>
            </c:numRef>
          </c:val>
          <c:smooth val="0"/>
        </c:ser>
        <c:axId val="468165414"/>
        <c:axId val="1485020197"/>
      </c:lineChart>
      <c:catAx>
        <c:axId val="468165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020197"/>
      </c:catAx>
      <c:valAx>
        <c:axId val="148502019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Compliant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165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Module 11: Where Are Our GMP Gaps? (NC Count)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'(EXAMPLE) Dashboard'!$J$47</c:f>
            </c:strRef>
          </c:tx>
          <c:spPr>
            <a:solidFill>
              <a:srgbClr val="164D5E"/>
            </a:solidFill>
            <a:ln cmpd="sng">
              <a:noFill/>
            </a:ln>
          </c:spPr>
          <c:cat>
            <c:strRef>
              <c:f>'(EXAMPLE) Dashboard'!$H$48:$H$64</c:f>
            </c:strRef>
          </c:cat>
          <c:val>
            <c:numRef>
              <c:f>'(EXAMPLE) Dashboard'!$J$48:$J$64</c:f>
              <c:numCache/>
            </c:numRef>
          </c:val>
        </c:ser>
        <c:axId val="634096802"/>
        <c:axId val="1293607243"/>
      </c:barChart>
      <c:catAx>
        <c:axId val="634096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GMP 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607243"/>
      </c:catAx>
      <c:valAx>
        <c:axId val="1293607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NC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096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Module 11: % Compliant by GMP Area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'(EXAMPLE) Dashboard'!$I$47</c:f>
            </c:strRef>
          </c:tx>
          <c:spPr>
            <a:solidFill>
              <a:srgbClr val="164D5E"/>
            </a:solidFill>
            <a:ln cmpd="sng">
              <a:noFill/>
            </a:ln>
          </c:spPr>
          <c:cat>
            <c:strRef>
              <c:f>'(EXAMPLE) Dashboard'!$H$48:$H$64</c:f>
            </c:strRef>
          </c:cat>
          <c:val>
            <c:numRef>
              <c:f>'(EXAMPLE) Dashboard'!$I$48:$I$64</c:f>
              <c:numCache/>
            </c:numRef>
          </c:val>
        </c:ser>
        <c:axId val="247105614"/>
        <c:axId val="327399121"/>
      </c:barChart>
      <c:catAx>
        <c:axId val="247105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399121"/>
      </c:catAx>
      <c:valAx>
        <c:axId val="32739912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Compliant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71056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6562725" cy="2867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4</xdr:row>
      <xdr:rowOff>85725</xdr:rowOff>
    </xdr:from>
    <xdr:ext cx="4991100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819150</xdr:colOff>
      <xdr:row>4</xdr:row>
      <xdr:rowOff>85725</xdr:rowOff>
    </xdr:from>
    <xdr:ext cx="4991100" cy="2876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323850</xdr:colOff>
      <xdr:row>4</xdr:row>
      <xdr:rowOff>85725</xdr:rowOff>
    </xdr:from>
    <xdr:ext cx="4991100" cy="2876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47625</xdr:colOff>
      <xdr:row>19</xdr:row>
      <xdr:rowOff>104775</xdr:rowOff>
    </xdr:from>
    <xdr:ext cx="7315200" cy="3971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1362075</xdr:colOff>
      <xdr:row>19</xdr:row>
      <xdr:rowOff>104775</xdr:rowOff>
    </xdr:from>
    <xdr:ext cx="7658100" cy="3971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2771775</xdr:colOff>
      <xdr:row>4</xdr:row>
      <xdr:rowOff>85725</xdr:rowOff>
    </xdr:from>
    <xdr:ext cx="8458200" cy="431482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</xdr:row>
      <xdr:rowOff>57150</xdr:rowOff>
    </xdr:from>
    <xdr:ext cx="7496175" cy="3829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1</xdr:row>
      <xdr:rowOff>161925</xdr:rowOff>
    </xdr:from>
    <xdr:ext cx="7496175" cy="3829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1</xdr:row>
      <xdr:rowOff>152400</xdr:rowOff>
    </xdr:from>
    <xdr:ext cx="7496175" cy="3829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5</xdr:row>
      <xdr:rowOff>66675</xdr:rowOff>
    </xdr:from>
    <xdr:ext cx="5391150" cy="3114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1609725</xdr:colOff>
      <xdr:row>5</xdr:row>
      <xdr:rowOff>66675</xdr:rowOff>
    </xdr:from>
    <xdr:ext cx="5391150" cy="31146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447675</xdr:colOff>
      <xdr:row>5</xdr:row>
      <xdr:rowOff>66675</xdr:rowOff>
    </xdr:from>
    <xdr:ext cx="5391150" cy="31146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542925</xdr:colOff>
      <xdr:row>21</xdr:row>
      <xdr:rowOff>123825</xdr:rowOff>
    </xdr:from>
    <xdr:ext cx="7315200" cy="3971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3533775</xdr:colOff>
      <xdr:row>21</xdr:row>
      <xdr:rowOff>123825</xdr:rowOff>
    </xdr:from>
    <xdr:ext cx="8877300" cy="39719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200025</xdr:colOff>
      <xdr:row>5</xdr:row>
      <xdr:rowOff>66675</xdr:rowOff>
    </xdr:from>
    <xdr:ext cx="8458200" cy="4314825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1</xdr:row>
      <xdr:rowOff>57150</xdr:rowOff>
    </xdr:from>
    <xdr:ext cx="7496175" cy="3829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161925</xdr:rowOff>
    </xdr:from>
    <xdr:ext cx="7496175" cy="3829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1</xdr:row>
      <xdr:rowOff>57150</xdr:rowOff>
    </xdr:from>
    <xdr:ext cx="7496175" cy="3829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" displayName="Scoring_Legend" name="Scoring_Legend" id="2">
  <tableColumns count="2">
    <tableColumn name="Code" id="1"/>
    <tableColumn name="Meaning" id="2"/>
  </tableColumns>
  <tableStyleInfo name="Scoring Legend-style" showColumnStripes="0" showFirstColumn="1" showLastColumn="1" showRowStripes="1"/>
</table>
</file>

<file path=xl/tables/table2.xml><?xml version="1.0" encoding="utf-8"?>
<table xmlns="http://schemas.openxmlformats.org/spreadsheetml/2006/main" ref="A1:B16" displayName="Audit_Details" name="Audit_Details" id="1">
  <tableColumns count="2">
    <tableColumn name="Audit Details" id="1"/>
    <tableColumn name="Information" id="2"/>
  </tableColumns>
  <tableStyleInfo name="Audit Info-style" showColumnStripes="0" showFirstColumn="1" showLastColumn="1" showRowStripes="1"/>
</table>
</file>

<file path=xl/tables/table3.xml><?xml version="1.0" encoding="utf-8"?>
<table xmlns="http://schemas.openxmlformats.org/spreadsheetml/2006/main" totalsRowCount="1" ref="A46:C57" displayName="Table3" name="Table3" id="6">
  <tableColumns count="3">
    <tableColumn name="Column 3" id="1"/>
    <tableColumn totalsRowLabel="Non-Conformances (MIN+MAJ+CRIT)" name="Overall Status Distribution" id="2"/>
    <tableColumn totalsRowFunction="custom" name="Column 1" id="3"/>
  </tableColumns>
  <tableStyleInfo name="Dashboard-style" showColumnStripes="0" showFirstColumn="1" showLastColumn="1" showRowStripes="1"/>
</table>
</file>

<file path=xl/tables/table4.xml><?xml version="1.0" encoding="utf-8"?>
<table xmlns="http://schemas.openxmlformats.org/spreadsheetml/2006/main" ref="E46:G56" displayName="Table1" name="Table1" id="7">
  <tableColumns count="3">
    <tableColumn name="Module 2 Compliance by Section (% C of (C+NC))" id="1"/>
    <tableColumn name="Column 1" id="2"/>
    <tableColumn name="Column 2" id="3"/>
  </tableColumns>
  <tableStyleInfo name="Dashboard-style 2" showColumnStripes="0" showFirstColumn="1" showLastColumn="1" showRowStripes="1"/>
</table>
</file>

<file path=xl/tables/table5.xml><?xml version="1.0" encoding="utf-8"?>
<table xmlns="http://schemas.openxmlformats.org/spreadsheetml/2006/main" ref="I46:K64" displayName="Table2" name="Table2" id="8">
  <tableColumns count="3">
    <tableColumn name="Module 11 GMP Compliance by Area (% C of (C+NC))" id="1"/>
    <tableColumn name="Column 1" id="2"/>
    <tableColumn name="Column 2" id="3"/>
  </tableColumns>
  <tableStyleInfo name="Dashboard-style 3" showColumnStripes="0" showFirstColumn="1" showLastColumn="1" showRowStripes="1"/>
</table>
</file>

<file path=xl/tables/table6.xml><?xml version="1.0" encoding="utf-8"?>
<table xmlns="http://schemas.openxmlformats.org/spreadsheetml/2006/main" ref="A1:G40" displayName="Module_2_Checklist" name="Module_2_Checklist" id="4">
  <tableColumns count="7">
    <tableColumn name="Clause" id="1"/>
    <tableColumn name="Section" id="2"/>
    <tableColumn name="Requirement" id="3"/>
    <tableColumn name="Status" id="4"/>
    <tableColumn name="Evidence Type" id="5"/>
    <tableColumn name="Observations" id="6"/>
    <tableColumn name="Root Cause" id="7"/>
  </tableColumns>
  <tableStyleInfo name="Module 2 - System-style" showColumnStripes="0" showFirstColumn="1" showLastColumn="1" showRowStripes="1"/>
</table>
</file>

<file path=xl/tables/table7.xml><?xml version="1.0" encoding="utf-8"?>
<table xmlns="http://schemas.openxmlformats.org/spreadsheetml/2006/main" ref="A1:F18" displayName="Module_11_Checklist" name="Module_11_Checklist" id="3">
  <tableColumns count="6">
    <tableColumn name="Clause" id="1"/>
    <tableColumn name="GMP Area" id="2"/>
    <tableColumn name="Status" id="3"/>
    <tableColumn name="Evidence Type" id="4"/>
    <tableColumn name="Observations" id="5"/>
    <tableColumn name="Root Cause" id="6"/>
  </tableColumns>
  <tableStyleInfo name="Module 11 - GMP-style" showColumnStripes="0" showFirstColumn="1" showLastColumn="1" showRowStripes="1"/>
</table>
</file>

<file path=xl/tables/table8.xml><?xml version="1.0" encoding="utf-8"?>
<table xmlns="http://schemas.openxmlformats.org/spreadsheetml/2006/main" ref="A1:F1000" displayName="Non_Conformance_Log" name="Non_Conformance_Log" id="5">
  <tableColumns count="6">
    <tableColumn name="Clause" id="1"/>
    <tableColumn name="Description" id="2"/>
    <tableColumn name="Severity" id="3"/>
    <tableColumn name="Root Cause" id="4"/>
    <tableColumn name="Containment" id="5"/>
    <tableColumn name="CAPA Ref" id="6"/>
  </tableColumns>
  <tableStyleInfo name="Non-Conformance Log-style" showColumnStripes="0" showFirstColumn="1" showLastColumn="1" showRowStripes="1"/>
</table>
</file>

<file path=xl/tables/table9.xml><?xml version="1.0" encoding="utf-8"?>
<table xmlns="http://schemas.openxmlformats.org/spreadsheetml/2006/main" ref="A1:B14" displayName="Audit_Info" name="Audit_Info" id="9">
  <tableColumns count="2">
    <tableColumn name="Field" id="1"/>
    <tableColumn name="Value" id="2"/>
  </tableColumns>
  <tableStyleInfo name="(EXAMPLE) Audit Info-style" showColumnStripes="0" showFirstColumn="1" showLastColumn="1" showRowStripes="1"/>
</table>
</file>

<file path=xl/tables/table10.xml><?xml version="1.0" encoding="utf-8"?>
<table xmlns="http://schemas.openxmlformats.org/spreadsheetml/2006/main" totalsRowCount="1" ref="A46:B57" displayName="Table3_2" name="Table3_2" id="13">
  <tableColumns count="2">
    <tableColumn totalsRowLabel="Non-Conformances (MIN+MAJ+CRIT)" name="Overall Status Distribution" id="1"/>
    <tableColumn totalsRowFunction="custom" name="Column 1" id="2"/>
  </tableColumns>
  <tableStyleInfo name="(EXAMPLE) Dashboard-style" showColumnStripes="0" showFirstColumn="1" showLastColumn="1" showRowStripes="1"/>
</table>
</file>

<file path=xl/tables/table11.xml><?xml version="1.0" encoding="utf-8"?>
<table xmlns="http://schemas.openxmlformats.org/spreadsheetml/2006/main" ref="D46:F56" displayName="Table1_2" name="Table1_2" id="14">
  <tableColumns count="3">
    <tableColumn name="Module 2 Compliance by Section (% C of (C+NC))" id="1"/>
    <tableColumn name="Column 1" id="2"/>
    <tableColumn name="Column 2" id="3"/>
  </tableColumns>
  <tableStyleInfo name="(EXAMPLE) Dashboard-style 2" showColumnStripes="0" showFirstColumn="1" showLastColumn="1" showRowStripes="1"/>
</table>
</file>

<file path=xl/tables/table12.xml><?xml version="1.0" encoding="utf-8"?>
<table xmlns="http://schemas.openxmlformats.org/spreadsheetml/2006/main" ref="H46:J64" displayName="Table2_2" name="Table2_2" id="15">
  <tableColumns count="3">
    <tableColumn name="Module 11 GMP Compliance by Area (% C of (C+NC))" id="1"/>
    <tableColumn name="Column 1" id="2"/>
    <tableColumn name="Column 2" id="3"/>
  </tableColumns>
  <tableStyleInfo name="(EXAMPLE) Dashboard-style 3" showColumnStripes="0" showFirstColumn="1" showLastColumn="1" showRowStripes="1"/>
</table>
</file>

<file path=xl/tables/table13.xml><?xml version="1.0" encoding="utf-8"?>
<table xmlns="http://schemas.openxmlformats.org/spreadsheetml/2006/main" ref="C3:D8" displayName="Table4" name="Table4" id="10">
  <tableColumns count="2">
    <tableColumn name="Code" id="1"/>
    <tableColumn name="Meaning" id="2"/>
  </tableColumns>
  <tableStyleInfo name="(EXAMPLE) Scoring Legend-style" showColumnStripes="0" showFirstColumn="1" showLastColumn="1" showRowStripes="1"/>
</table>
</file>

<file path=xl/tables/table14.xml><?xml version="1.0" encoding="utf-8"?>
<table xmlns="http://schemas.openxmlformats.org/spreadsheetml/2006/main" ref="A1:G40" displayName="Table6_2" name="Table6_2" id="11">
  <tableColumns count="7">
    <tableColumn name="Clause" id="1"/>
    <tableColumn name="Section" id="2"/>
    <tableColumn name="Requirement" id="3"/>
    <tableColumn name="Status" id="4"/>
    <tableColumn name="Evidence Type" id="5"/>
    <tableColumn name="Observations" id="6"/>
    <tableColumn name="Root Cause" id="7"/>
  </tableColumns>
  <tableStyleInfo name="(EXAMPLE) Module 2 - System-style" showColumnStripes="0" showFirstColumn="1" showLastColumn="1" showRowStripes="1"/>
</table>
</file>

<file path=xl/tables/table15.xml><?xml version="1.0" encoding="utf-8"?>
<table xmlns="http://schemas.openxmlformats.org/spreadsheetml/2006/main" ref="A1:F18" displayName="Table7_2" name="Table7_2" id="12">
  <tableColumns count="6">
    <tableColumn name="Clause" id="1"/>
    <tableColumn name="GMP Area" id="2"/>
    <tableColumn name="Status" id="3"/>
    <tableColumn name="Evidence Type" id="4"/>
    <tableColumn name="Observations" id="5"/>
    <tableColumn name="Root Cause" id="6"/>
  </tableColumns>
  <tableStyleInfo name="(EXAMPLE) Module 11 - GMP-style" showColumnStripes="0" showFirstColumn="1" showLastColumn="1" showRowStripes="1"/>
</table>
</file>

<file path=xl/tables/table16.xml><?xml version="1.0" encoding="utf-8"?>
<table xmlns="http://schemas.openxmlformats.org/spreadsheetml/2006/main" ref="A1:F1000" displayName="Table8_2" name="Table8_2" id="16">
  <tableColumns count="6">
    <tableColumn name="Clause" id="1"/>
    <tableColumn name="Description" id="2"/>
    <tableColumn name="Severity" id="3"/>
    <tableColumn name="Root Cause" id="4"/>
    <tableColumn name="Containment" id="5"/>
    <tableColumn name="CAPA Ref" id="6"/>
  </tableColumns>
  <tableStyleInfo name="(EXAMPLE) Non-Conformance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leratech.com/product/food-quality-management-software" TargetMode="External"/><Relationship Id="rId2" Type="http://schemas.openxmlformats.org/officeDocument/2006/relationships/hyperlink" Target="https://calendly.com/joey-alleratech/30min?month=2026-02" TargetMode="External"/><Relationship Id="rId3" Type="http://schemas.openxmlformats.org/officeDocument/2006/relationships/drawing" Target="../drawings/drawing4.xml"/><Relationship Id="rId9" Type="http://schemas.openxmlformats.org/officeDocument/2006/relationships/table" Target="../tables/table5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leratech.com/product/food-quality-management-software" TargetMode="External"/><Relationship Id="rId2" Type="http://schemas.openxmlformats.org/officeDocument/2006/relationships/hyperlink" Target="https://calendly.com/joey-alleratech/30min?month=2026-02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leratech.com/product/food-quality-management-software" TargetMode="External"/><Relationship Id="rId2" Type="http://schemas.openxmlformats.org/officeDocument/2006/relationships/hyperlink" Target="https://calendly.com/joey-alleratech/30min?month=2026-02" TargetMode="External"/><Relationship Id="rId3" Type="http://schemas.openxmlformats.org/officeDocument/2006/relationships/drawing" Target="../drawings/drawing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leratech.com/product/food-quality-management-software" TargetMode="External"/><Relationship Id="rId2" Type="http://schemas.openxmlformats.org/officeDocument/2006/relationships/hyperlink" Target="https://calendly.com/joey-alleratech/30min?month=2026-02" TargetMode="External"/><Relationship Id="rId3" Type="http://schemas.openxmlformats.org/officeDocument/2006/relationships/drawing" Target="../drawings/drawing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leratech.com/product/food-quality-management-software" TargetMode="External"/><Relationship Id="rId2" Type="http://schemas.openxmlformats.org/officeDocument/2006/relationships/hyperlink" Target="https://calendly.com/joey-alleratech/30min?month=2026-02" TargetMode="External"/><Relationship Id="rId3" Type="http://schemas.openxmlformats.org/officeDocument/2006/relationships/drawing" Target="../drawings/drawing9.xml"/><Relationship Id="rId9" Type="http://schemas.openxmlformats.org/officeDocument/2006/relationships/table" Target="../tables/table12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leratech.com/product/food-quality-management-software" TargetMode="External"/><Relationship Id="rId2" Type="http://schemas.openxmlformats.org/officeDocument/2006/relationships/hyperlink" Target="https://calendly.com/joey-alleratech/30min?month=2026-02" TargetMode="External"/><Relationship Id="rId3" Type="http://schemas.openxmlformats.org/officeDocument/2006/relationships/drawing" Target="../drawings/drawing12.xml"/><Relationship Id="rId5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leratech.com/product/food-quality-management-software" TargetMode="External"/><Relationship Id="rId2" Type="http://schemas.openxmlformats.org/officeDocument/2006/relationships/hyperlink" Target="https://calendly.com/joey-alleratech/30min?month=2026-02" TargetMode="External"/><Relationship Id="rId3" Type="http://schemas.openxmlformats.org/officeDocument/2006/relationships/drawing" Target="../drawings/drawing13.xml"/><Relationship Id="rId5" Type="http://schemas.openxmlformats.org/officeDocument/2006/relationships/table" Target="../tables/table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leratech.com/product/food-quality-management-software" TargetMode="External"/><Relationship Id="rId2" Type="http://schemas.openxmlformats.org/officeDocument/2006/relationships/hyperlink" Target="https://calendly.com/joey-alleratech/30min?month=2026-02" TargetMode="External"/><Relationship Id="rId3" Type="http://schemas.openxmlformats.org/officeDocument/2006/relationships/drawing" Target="../drawings/drawing14.xml"/><Relationship Id="rId5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2" max="2" width="98.43"/>
  </cols>
  <sheetData>
    <row r="1" ht="52.5" customHeight="1"/>
    <row r="2">
      <c r="B2" s="1" t="s">
        <v>0</v>
      </c>
    </row>
    <row r="3">
      <c r="B3" s="2" t="s">
        <v>1</v>
      </c>
    </row>
    <row r="4" ht="272.25" customHeight="1">
      <c r="B4" s="3"/>
    </row>
    <row r="6">
      <c r="C6" s="4"/>
      <c r="D6" s="4"/>
      <c r="E6" s="4"/>
      <c r="F6" s="4"/>
      <c r="G6" s="4"/>
      <c r="H6" s="4"/>
      <c r="I6" s="4"/>
    </row>
    <row r="7">
      <c r="B7" s="1" t="s">
        <v>2</v>
      </c>
      <c r="C7" s="4"/>
      <c r="D7" s="4"/>
      <c r="E7" s="4"/>
      <c r="F7" s="4"/>
      <c r="G7" s="4"/>
      <c r="H7" s="4"/>
      <c r="I7" s="4"/>
    </row>
    <row r="8">
      <c r="B8" s="5"/>
      <c r="C8" s="4"/>
      <c r="D8" s="4"/>
      <c r="E8" s="4"/>
      <c r="F8" s="4"/>
      <c r="G8" s="4"/>
      <c r="H8" s="4"/>
      <c r="I8" s="4"/>
    </row>
    <row r="9">
      <c r="B9" s="5" t="s">
        <v>3</v>
      </c>
      <c r="C9" s="4"/>
      <c r="D9" s="4"/>
      <c r="E9" s="4"/>
      <c r="F9" s="4"/>
      <c r="G9" s="4"/>
      <c r="H9" s="4"/>
      <c r="I9" s="4"/>
    </row>
    <row r="10">
      <c r="B10" s="2" t="s">
        <v>6</v>
      </c>
      <c r="C10" s="4"/>
      <c r="D10" s="4"/>
      <c r="E10" s="4"/>
      <c r="F10" s="4"/>
      <c r="G10" s="4"/>
      <c r="H10" s="4"/>
      <c r="I10" s="4"/>
    </row>
    <row r="11">
      <c r="B11" s="5"/>
      <c r="C11" s="4"/>
      <c r="D11" s="4"/>
      <c r="E11" s="4"/>
      <c r="F11" s="4"/>
      <c r="G11" s="4"/>
      <c r="H11" s="4"/>
      <c r="I11" s="4"/>
    </row>
    <row r="12">
      <c r="B12" s="5" t="s">
        <v>11</v>
      </c>
      <c r="C12" s="4"/>
      <c r="D12" s="4"/>
      <c r="E12" s="4"/>
      <c r="F12" s="4"/>
      <c r="G12" s="4"/>
      <c r="H12" s="4"/>
      <c r="I12" s="4"/>
    </row>
    <row r="13">
      <c r="B13" s="2" t="s">
        <v>17</v>
      </c>
      <c r="C13" s="4"/>
      <c r="D13" s="4"/>
      <c r="E13" s="4"/>
      <c r="F13" s="4"/>
      <c r="G13" s="4"/>
      <c r="H13" s="4"/>
      <c r="I13" s="4"/>
    </row>
    <row r="14">
      <c r="B14" s="9"/>
      <c r="C14" s="4"/>
      <c r="D14" s="4"/>
      <c r="E14" s="4"/>
      <c r="F14" s="4"/>
      <c r="G14" s="4"/>
      <c r="H14" s="4"/>
      <c r="I14" s="4"/>
    </row>
    <row r="15">
      <c r="B15" s="2" t="s">
        <v>31</v>
      </c>
      <c r="C15" s="4"/>
      <c r="D15" s="4"/>
      <c r="E15" s="4"/>
      <c r="F15" s="4"/>
      <c r="G15" s="4"/>
      <c r="H15" s="4"/>
      <c r="I15" s="4"/>
    </row>
    <row r="16">
      <c r="B16" s="2" t="s">
        <v>34</v>
      </c>
      <c r="C16" s="4"/>
      <c r="D16" s="4"/>
      <c r="E16" s="4"/>
      <c r="F16" s="4"/>
      <c r="G16" s="4"/>
      <c r="H16" s="4"/>
      <c r="I16" s="4"/>
    </row>
    <row r="17">
      <c r="B17" s="2" t="s">
        <v>37</v>
      </c>
      <c r="C17" s="4"/>
      <c r="D17" s="4"/>
      <c r="E17" s="4"/>
      <c r="F17" s="4"/>
      <c r="G17" s="4"/>
      <c r="H17" s="4"/>
      <c r="I17" s="4"/>
    </row>
    <row r="18">
      <c r="B18" s="2" t="s">
        <v>39</v>
      </c>
      <c r="C18" s="4"/>
      <c r="D18" s="4"/>
      <c r="E18" s="4"/>
      <c r="F18" s="4"/>
      <c r="G18" s="4"/>
      <c r="H18" s="4"/>
      <c r="I18" s="4"/>
    </row>
    <row r="19">
      <c r="B19" s="2" t="s">
        <v>40</v>
      </c>
      <c r="C19" s="4"/>
      <c r="D19" s="4"/>
      <c r="E19" s="4"/>
      <c r="F19" s="4"/>
      <c r="G19" s="4"/>
      <c r="H19" s="4"/>
      <c r="I19" s="4"/>
    </row>
    <row r="20">
      <c r="B20" s="5"/>
      <c r="C20" s="4"/>
      <c r="D20" s="4"/>
      <c r="E20" s="4"/>
      <c r="F20" s="4"/>
      <c r="G20" s="4"/>
      <c r="H20" s="4"/>
      <c r="I20" s="4"/>
    </row>
    <row r="21">
      <c r="B21" s="5" t="s">
        <v>41</v>
      </c>
      <c r="C21" s="4"/>
      <c r="D21" s="4"/>
      <c r="E21" s="4"/>
      <c r="F21" s="4"/>
      <c r="G21" s="4"/>
      <c r="H21" s="4"/>
      <c r="I21" s="4"/>
    </row>
    <row r="22">
      <c r="B22" s="2" t="s">
        <v>42</v>
      </c>
      <c r="C22" s="4"/>
      <c r="D22" s="4"/>
      <c r="E22" s="4"/>
      <c r="F22" s="4"/>
      <c r="G22" s="4"/>
      <c r="H22" s="4"/>
      <c r="I22" s="4"/>
    </row>
    <row r="23">
      <c r="B23" s="5"/>
      <c r="C23" s="4"/>
      <c r="D23" s="4"/>
      <c r="E23" s="4"/>
      <c r="F23" s="4"/>
      <c r="G23" s="4"/>
      <c r="H23" s="4"/>
      <c r="I23" s="4"/>
    </row>
    <row r="24">
      <c r="B24" s="5" t="s">
        <v>43</v>
      </c>
      <c r="C24" s="4"/>
      <c r="D24" s="4"/>
      <c r="E24" s="4"/>
      <c r="F24" s="4"/>
      <c r="G24" s="4"/>
      <c r="H24" s="4"/>
      <c r="I24" s="4"/>
    </row>
    <row r="25">
      <c r="B25" s="2" t="s">
        <v>44</v>
      </c>
      <c r="C25" s="4"/>
      <c r="D25" s="4"/>
      <c r="E25" s="4"/>
      <c r="F25" s="4"/>
      <c r="G25" s="4"/>
      <c r="H25" s="4"/>
      <c r="I25" s="4"/>
    </row>
    <row r="26">
      <c r="B26" s="5"/>
      <c r="C26" s="4"/>
      <c r="D26" s="4"/>
      <c r="E26" s="4"/>
      <c r="F26" s="4"/>
      <c r="G26" s="4"/>
      <c r="H26" s="4"/>
      <c r="I26" s="4"/>
    </row>
    <row r="27">
      <c r="B27" s="5" t="s">
        <v>45</v>
      </c>
      <c r="C27" s="4"/>
      <c r="D27" s="4"/>
      <c r="E27" s="4"/>
      <c r="F27" s="4"/>
      <c r="G27" s="4"/>
      <c r="H27" s="4"/>
      <c r="I27" s="4"/>
    </row>
    <row r="28">
      <c r="B28" s="2" t="s">
        <v>46</v>
      </c>
      <c r="C28" s="4"/>
      <c r="D28" s="4"/>
      <c r="E28" s="4"/>
      <c r="F28" s="4"/>
      <c r="G28" s="4"/>
      <c r="H28" s="4"/>
      <c r="I28" s="4"/>
    </row>
    <row r="29" ht="146.25" customHeight="1">
      <c r="B29" s="10" t="s">
        <v>47</v>
      </c>
      <c r="C29" s="4"/>
      <c r="D29" s="4"/>
      <c r="E29" s="4"/>
      <c r="F29" s="4"/>
      <c r="G29" s="4"/>
      <c r="H29" s="4"/>
      <c r="I29" s="4"/>
    </row>
    <row r="30">
      <c r="C30" s="4"/>
      <c r="D30" s="4"/>
      <c r="E30" s="4"/>
      <c r="F30" s="4"/>
      <c r="G30" s="4"/>
      <c r="H30" s="4"/>
      <c r="I3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0"/>
    <col customWidth="1" min="2" max="2" width="34.57"/>
    <col customWidth="1" min="3" max="3" width="11.14"/>
    <col customWidth="1" min="4" max="4" width="34.57"/>
    <col customWidth="1" min="5" max="26" width="8.71"/>
  </cols>
  <sheetData>
    <row r="1" ht="22.5" customHeight="1">
      <c r="A1" s="6" t="s">
        <v>5</v>
      </c>
      <c r="B1" s="6" t="s">
        <v>8</v>
      </c>
    </row>
    <row r="2" ht="22.5" customHeight="1">
      <c r="A2" s="7" t="s">
        <v>9</v>
      </c>
      <c r="B2" s="7" t="s">
        <v>12</v>
      </c>
    </row>
    <row r="3" ht="22.5" customHeight="1">
      <c r="A3" s="7" t="s">
        <v>14</v>
      </c>
      <c r="B3" s="7" t="s">
        <v>16</v>
      </c>
    </row>
    <row r="4" ht="22.5" customHeight="1">
      <c r="A4" s="7" t="s">
        <v>19</v>
      </c>
      <c r="B4" s="7" t="s">
        <v>21</v>
      </c>
    </row>
    <row r="5" ht="22.5" customHeight="1">
      <c r="A5" s="7" t="s">
        <v>23</v>
      </c>
      <c r="B5" s="7" t="s">
        <v>25</v>
      </c>
    </row>
    <row r="6" ht="22.5" customHeight="1">
      <c r="A6" s="7" t="s">
        <v>27</v>
      </c>
      <c r="B6" s="7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86"/>
    <col customWidth="1" min="2" max="2" width="67.14"/>
    <col customWidth="1" min="3" max="3" width="25.71"/>
    <col customWidth="1" min="4" max="4" width="66.0"/>
    <col customWidth="1" min="5" max="26" width="8.71"/>
  </cols>
  <sheetData>
    <row r="1" ht="22.5" customHeight="1">
      <c r="A1" s="6" t="s">
        <v>4</v>
      </c>
      <c r="B1" s="6" t="s">
        <v>7</v>
      </c>
    </row>
    <row r="2" ht="22.5" customHeight="1">
      <c r="A2" s="8" t="s">
        <v>10</v>
      </c>
    </row>
    <row r="3" ht="22.5" customHeight="1">
      <c r="A3" s="8" t="s">
        <v>13</v>
      </c>
    </row>
    <row r="4" ht="22.5" customHeight="1">
      <c r="A4" s="8" t="s">
        <v>15</v>
      </c>
    </row>
    <row r="5" ht="22.5" customHeight="1">
      <c r="A5" s="8" t="s">
        <v>18</v>
      </c>
    </row>
    <row r="6" ht="22.5" customHeight="1">
      <c r="A6" s="8" t="s">
        <v>20</v>
      </c>
    </row>
    <row r="7" ht="22.5" customHeight="1">
      <c r="A7" s="8" t="s">
        <v>22</v>
      </c>
    </row>
    <row r="8" ht="22.5" customHeight="1">
      <c r="A8" s="8" t="s">
        <v>24</v>
      </c>
    </row>
    <row r="9" ht="22.5" customHeight="1">
      <c r="A9" s="8" t="s">
        <v>26</v>
      </c>
    </row>
    <row r="10" ht="22.5" customHeight="1">
      <c r="A10" s="8" t="s">
        <v>28</v>
      </c>
    </row>
    <row r="11" ht="22.5" customHeight="1">
      <c r="A11" s="8" t="s">
        <v>30</v>
      </c>
    </row>
    <row r="12" ht="22.5" customHeight="1">
      <c r="A12" s="8" t="s">
        <v>32</v>
      </c>
    </row>
    <row r="13" ht="22.5" customHeight="1">
      <c r="A13" s="8" t="s">
        <v>33</v>
      </c>
    </row>
    <row r="14" ht="22.5" customHeight="1">
      <c r="A14" s="8" t="s">
        <v>35</v>
      </c>
    </row>
    <row r="15" ht="22.5" customHeight="1">
      <c r="A15" s="8" t="s">
        <v>36</v>
      </c>
    </row>
    <row r="16" ht="22.5" customHeight="1">
      <c r="A16" s="8" t="s">
        <v>38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43"/>
    <col customWidth="1" min="2" max="2" width="63.29"/>
    <col customWidth="1" min="3" max="3" width="18.0"/>
    <col customWidth="1" min="4" max="4" width="8.71"/>
    <col customWidth="1" min="5" max="5" width="55.57"/>
    <col customWidth="1" min="6" max="6" width="18.86"/>
    <col customWidth="1" min="7" max="7" width="15.14"/>
    <col customWidth="1" min="8" max="8" width="8.71"/>
    <col customWidth="1" min="9" max="9" width="55.57"/>
    <col customWidth="1" min="10" max="10" width="55.0"/>
    <col customWidth="1" min="11" max="11" width="15.14"/>
    <col customWidth="1" min="12" max="27" width="8.71"/>
  </cols>
  <sheetData>
    <row r="3">
      <c r="A3" s="14"/>
      <c r="B3" s="15" t="s">
        <v>142</v>
      </c>
      <c r="C3" s="14"/>
      <c r="D3" s="14"/>
      <c r="E3" s="14"/>
      <c r="F3" s="14"/>
      <c r="G3" s="14"/>
      <c r="H3" s="14"/>
      <c r="I3" s="14"/>
      <c r="J3" s="14"/>
      <c r="K3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J30" s="13" t="s">
        <v>144</v>
      </c>
    </row>
    <row r="31" ht="15.75" customHeight="1">
      <c r="J31" s="13" t="s">
        <v>148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16"/>
      <c r="B44" s="16" t="s">
        <v>151</v>
      </c>
    </row>
    <row r="45" ht="15.75" customHeight="1"/>
    <row r="46" ht="15.75" customHeight="1">
      <c r="A46" s="6" t="s">
        <v>153</v>
      </c>
      <c r="B46" s="6" t="s">
        <v>154</v>
      </c>
      <c r="C46" s="6" t="s">
        <v>155</v>
      </c>
      <c r="E46" s="6" t="s">
        <v>156</v>
      </c>
      <c r="F46" s="6" t="s">
        <v>155</v>
      </c>
      <c r="G46" s="6" t="s">
        <v>157</v>
      </c>
      <c r="I46" s="6" t="s">
        <v>159</v>
      </c>
      <c r="J46" s="6" t="s">
        <v>155</v>
      </c>
      <c r="K46" s="6" t="s">
        <v>157</v>
      </c>
    </row>
    <row r="47" ht="15.75" customHeight="1">
      <c r="B47" s="7" t="s">
        <v>51</v>
      </c>
      <c r="C47" s="7" t="s">
        <v>161</v>
      </c>
      <c r="E47" s="7" t="s">
        <v>50</v>
      </c>
      <c r="F47" s="17" t="s">
        <v>163</v>
      </c>
      <c r="G47" s="7" t="s">
        <v>165</v>
      </c>
      <c r="I47" s="7" t="s">
        <v>49</v>
      </c>
      <c r="J47" s="17" t="s">
        <v>163</v>
      </c>
      <c r="K47" s="7" t="s">
        <v>165</v>
      </c>
    </row>
    <row r="48" ht="15.75" customHeight="1">
      <c r="B48" s="7" t="s">
        <v>9</v>
      </c>
      <c r="C48" s="7">
        <f>COUNTIF('Module 2 - System'!$D:$D,"C") + COUNTIF('Module 11 - GMP'!$C:$C,"C")</f>
        <v>0</v>
      </c>
      <c r="E48" s="7" t="s">
        <v>59</v>
      </c>
      <c r="F48" s="18">
        <f>IFERROR(COUNTIFS('Module 2 - System'!$B:$B,"2.1 Management Commitment",'Module 2 - System'!$D:$D,"C") / (COUNTIFS('Module 2 - System'!$B:$B,"2.1 Management Commitment",'Module 2 - System'!$D:$D,"&lt;&gt;",'Module 2 - System'!$D:$D,"&lt;&gt;N/A")),0)</f>
        <v>0</v>
      </c>
      <c r="G48" s="7">
        <f>COUNTIFS('Module 2 - System'!$B:$B,"2.1 Management Commitment",'Module 2 - System'!$D:$D,"MIN")+COUNTIFS('Module 2 - System'!$B:$B,"2.1 Management Commitment",'Module 2 - System'!$D:$D,"MAJ")+COUNTIFS('Module 2 - System'!$B:$B,"2.1 Management Commitment",'Module 2 - System'!$D:$D,"CRIT")</f>
        <v>0</v>
      </c>
      <c r="I48" s="7" t="s">
        <v>57</v>
      </c>
      <c r="J48" s="18">
        <f>IFERROR(COUNTIFS('Module 11 - GMP'!$B:$B,"Site &amp; premises",'Module 11 - GMP'!$C:$C,"C") / (COUNTIFS('Module 11 - GMP'!$B:$B,"Site &amp; premises",'Module 11 - GMP'!$C:$C,"&lt;&gt;",'Module 11 - GMP'!$C:$C,"&lt;&gt;N/A")),0)</f>
        <v>0</v>
      </c>
      <c r="K48" s="7">
        <f>COUNTIFS('Module 11 - GMP'!$B:$B,"Site &amp; premises",'Module 11 - GMP'!$C:$C,"MIN")+COUNTIFS('Module 11 - GMP'!$B:$B,"Site &amp; premises",'Module 11 - GMP'!$C:$C,"MAJ")+COUNTIFS('Module 11 - GMP'!$B:$B,"Site &amp; premises",'Module 11 - GMP'!$C:$C,"CRIT")</f>
        <v>0</v>
      </c>
    </row>
    <row r="49" ht="15.75" customHeight="1">
      <c r="B49" s="7" t="s">
        <v>14</v>
      </c>
      <c r="C49" s="7">
        <f>COUNTIF('Module 2 - System'!$D:$D,"MIN") + COUNTIF('Module 11 - GMP'!$C:$C,"MIN")</f>
        <v>0</v>
      </c>
      <c r="E49" s="7" t="s">
        <v>76</v>
      </c>
      <c r="F49" s="18">
        <f>IFERROR(COUNTIFS('Module 2 - System'!$B:$B,"2.2 Document Control &amp; Records",'Module 2 - System'!$D:$D,"C") / (COUNTIFS('Module 2 - System'!$B:$B,"2.2 Document Control &amp; Records",'Module 2 - System'!$D:$D,"&lt;&gt;",'Module 2 - System'!$D:$D,"&lt;&gt;N/A")),0)</f>
        <v>0</v>
      </c>
      <c r="G49" s="7">
        <f>COUNTIFS('Module 2 - System'!$B:$B,"2.2 Document Control &amp; Records",'Module 2 - System'!$D:$D,"MIN")+COUNTIFS('Module 2 - System'!$B:$B,"2.2 Document Control &amp; Records",'Module 2 - System'!$D:$D,"MAJ")+COUNTIFS('Module 2 - System'!$B:$B,"2.2 Document Control &amp; Records",'Module 2 - System'!$D:$D,"CRIT")</f>
        <v>0</v>
      </c>
      <c r="I49" s="7" t="s">
        <v>62</v>
      </c>
      <c r="J49" s="18">
        <f>IFERROR(COUNTIFS('Module 11 - GMP'!$B:$B,"Personnel hygiene",'Module 11 - GMP'!$C:$C,"C") / (COUNTIFS('Module 11 - GMP'!$B:$B,"Personnel hygiene",'Module 11 - GMP'!$C:$C,"&lt;&gt;",'Module 11 - GMP'!$C:$C,"&lt;&gt;N/A")),0)</f>
        <v>0</v>
      </c>
      <c r="K49" s="7">
        <f>COUNTIFS('Module 11 - GMP'!$B:$B,"Personnel hygiene",'Module 11 - GMP'!$C:$C,"MIN")+COUNTIFS('Module 11 - GMP'!$B:$B,"Personnel hygiene",'Module 11 - GMP'!$C:$C,"MAJ")+COUNTIFS('Module 11 - GMP'!$B:$B,"Personnel hygiene",'Module 11 - GMP'!$C:$C,"CRIT")</f>
        <v>0</v>
      </c>
    </row>
    <row r="50" ht="15.75" customHeight="1">
      <c r="B50" s="7" t="s">
        <v>19</v>
      </c>
      <c r="C50" s="7">
        <f>COUNTIF('Module 2 - System'!$D:$D,"MAJ") + COUNTIF('Module 11 - GMP'!$C:$C,"MAJ")</f>
        <v>0</v>
      </c>
      <c r="E50" s="7" t="s">
        <v>91</v>
      </c>
      <c r="F50" s="18">
        <f>IFERROR(COUNTIFS('Module 2 - System'!$B:$B,"2.3 Specifications &amp; Supplier Management",'Module 2 - System'!$D:$D,"C") / (COUNTIFS('Module 2 - System'!$B:$B,"2.3 Specifications &amp; Supplier Management",'Module 2 - System'!$D:$D,"&lt;&gt;",'Module 2 - System'!$D:$D,"&lt;&gt;N/A")),0)</f>
        <v>0</v>
      </c>
      <c r="G50" s="7">
        <f>COUNTIFS('Module 2 - System'!$B:$B,"2.3 Specifications &amp; Supplier Management",'Module 2 - System'!$D:$D,"MIN")+COUNTIFS('Module 2 - System'!$B:$B,"2.3 Specifications &amp; Supplier Management",'Module 2 - System'!$D:$D,"MAJ")+COUNTIFS('Module 2 - System'!$B:$B,"2.3 Specifications &amp; Supplier Management",'Module 2 - System'!$D:$D,"CRIT")</f>
        <v>0</v>
      </c>
      <c r="I50" s="7" t="s">
        <v>66</v>
      </c>
      <c r="J50" s="18">
        <f>IFERROR(COUNTIFS('Module 11 - GMP'!$B:$B,"Water / Air / Ice",'Module 11 - GMP'!$C:$C,"C") / (COUNTIFS('Module 11 - GMP'!$B:$B,"Water / Air / Ice",'Module 11 - GMP'!$C:$C,"&lt;&gt;",'Module 11 - GMP'!$C:$C,"&lt;&gt;N/A")),0)</f>
        <v>0</v>
      </c>
      <c r="K50" s="7">
        <f>COUNTIFS('Module 11 - GMP'!$B:$B,"Water / Air / Ice",'Module 11 - GMP'!$C:$C,"MIN")+COUNTIFS('Module 11 - GMP'!$B:$B,"Water / Air / Ice",'Module 11 - GMP'!$C:$C,"MAJ")+COUNTIFS('Module 11 - GMP'!$B:$B,"Water / Air / Ice",'Module 11 - GMP'!$C:$C,"CRIT")</f>
        <v>0</v>
      </c>
    </row>
    <row r="51" ht="15.75" customHeight="1">
      <c r="B51" s="7" t="s">
        <v>23</v>
      </c>
      <c r="C51" s="7">
        <f>COUNTIF('Module 2 - System'!$D:$D,"CRIT") + COUNTIF('Module 11 - GMP'!$C:$C,"CRIT")</f>
        <v>0</v>
      </c>
      <c r="E51" s="7" t="s">
        <v>112</v>
      </c>
      <c r="F51" s="18">
        <f>IFERROR(COUNTIFS('Module 2 - System'!$B:$B,"2.4 Food Safety System (HACCP)",'Module 2 - System'!$D:$D,"C") / (COUNTIFS('Module 2 - System'!$B:$B,"2.4 Food Safety System (HACCP)",'Module 2 - System'!$D:$D,"&lt;&gt;",'Module 2 - System'!$D:$D,"&lt;&gt;N/A")),0)</f>
        <v>0</v>
      </c>
      <c r="G51" s="7">
        <f>COUNTIFS('Module 2 - System'!$B:$B,"2.4 Food Safety System (HACCP)",'Module 2 - System'!$D:$D,"MIN")+COUNTIFS('Module 2 - System'!$B:$B,"2.4 Food Safety System (HACCP)",'Module 2 - System'!$D:$D,"MAJ")+COUNTIFS('Module 2 - System'!$B:$B,"2.4 Food Safety System (HACCP)",'Module 2 - System'!$D:$D,"CRIT")</f>
        <v>0</v>
      </c>
      <c r="I51" s="7" t="s">
        <v>70</v>
      </c>
      <c r="J51" s="18">
        <f>IFERROR(COUNTIFS('Module 11 - GMP'!$B:$B,"Cleaning &amp; sanitation",'Module 11 - GMP'!$C:$C,"C") / (COUNTIFS('Module 11 - GMP'!$B:$B,"Cleaning &amp; sanitation",'Module 11 - GMP'!$C:$C,"&lt;&gt;",'Module 11 - GMP'!$C:$C,"&lt;&gt;N/A")),0)</f>
        <v>0</v>
      </c>
      <c r="K51" s="7">
        <f>COUNTIFS('Module 11 - GMP'!$B:$B,"Cleaning &amp; sanitation",'Module 11 - GMP'!$C:$C,"MIN")+COUNTIFS('Module 11 - GMP'!$B:$B,"Cleaning &amp; sanitation",'Module 11 - GMP'!$C:$C,"MAJ")+COUNTIFS('Module 11 - GMP'!$B:$B,"Cleaning &amp; sanitation",'Module 11 - GMP'!$C:$C,"CRIT")</f>
        <v>0</v>
      </c>
    </row>
    <row r="52" ht="15.75" customHeight="1">
      <c r="B52" s="7" t="s">
        <v>27</v>
      </c>
      <c r="C52" s="7">
        <f>COUNTIF('Module 2 - System'!$D:$D,"N/A") + COUNTIF('Module 11 - GMP'!$C:$C,"N/A")</f>
        <v>39</v>
      </c>
      <c r="E52" s="7" t="s">
        <v>147</v>
      </c>
      <c r="F52" s="18">
        <f>IFERROR(COUNTIFS('Module 2 - System'!$B:$B,"2.5 Verification, Validation &amp; Improvement",'Module 2 - System'!$D:$D,"C") / (COUNTIFS('Module 2 - System'!$B:$B,"2.5 Verification, Validation &amp; Improvement",'Module 2 - System'!$D:$D,"&lt;&gt;",'Module 2 - System'!$D:$D,"&lt;&gt;N/A")),0)</f>
        <v>0</v>
      </c>
      <c r="G52" s="7">
        <f>COUNTIFS('Module 2 - System'!$B:$B,"2.5 Verification, Validation &amp; Improvement",'Module 2 - System'!$D:$D,"MIN")+COUNTIFS('Module 2 - System'!$B:$B,"2.5 Verification, Validation &amp; Improvement",'Module 2 - System'!$D:$D,"MAJ")+COUNTIFS('Module 2 - System'!$B:$B,"2.5 Verification, Validation &amp; Improvement",'Module 2 - System'!$D:$D,"CRIT")</f>
        <v>0</v>
      </c>
      <c r="I52" s="7" t="s">
        <v>74</v>
      </c>
      <c r="J52" s="18">
        <f>IFERROR(COUNTIFS('Module 11 - GMP'!$B:$B,"Pest control",'Module 11 - GMP'!$C:$C,"C") / (COUNTIFS('Module 11 - GMP'!$B:$B,"Pest control",'Module 11 - GMP'!$C:$C,"&lt;&gt;",'Module 11 - GMP'!$C:$C,"&lt;&gt;N/A")),0)</f>
        <v>0</v>
      </c>
      <c r="K52" s="7">
        <f>COUNTIFS('Module 11 - GMP'!$B:$B,"Pest control",'Module 11 - GMP'!$C:$C,"MIN")+COUNTIFS('Module 11 - GMP'!$B:$B,"Pest control",'Module 11 - GMP'!$C:$C,"MAJ")+COUNTIFS('Module 11 - GMP'!$B:$B,"Pest control",'Module 11 - GMP'!$C:$C,"CRIT")</f>
        <v>0</v>
      </c>
    </row>
    <row r="53" ht="15.75" customHeight="1">
      <c r="E53" s="7" t="s">
        <v>169</v>
      </c>
      <c r="F53" s="18">
        <f>IFERROR(COUNTIFS('Module 2 - System'!$B:$B,"2.6 Traceability &amp; Recall",'Module 2 - System'!$D:$D,"C") / (COUNTIFS('Module 2 - System'!$B:$B,"2.6 Traceability &amp; Recall",'Module 2 - System'!$D:$D,"&lt;&gt;",'Module 2 - System'!$D:$D,"&lt;&gt;N/A")),0)</f>
        <v>0</v>
      </c>
      <c r="G53" s="7">
        <f>COUNTIFS('Module 2 - System'!$B:$B,"2.6 Traceability &amp; Recall",'Module 2 - System'!$D:$D,"MIN")+COUNTIFS('Module 2 - System'!$B:$B,"2.6 Traceability &amp; Recall",'Module 2 - System'!$D:$D,"MAJ")+COUNTIFS('Module 2 - System'!$B:$B,"2.6 Traceability &amp; Recall",'Module 2 - System'!$D:$D,"CRIT")</f>
        <v>0</v>
      </c>
      <c r="I53" s="7" t="s">
        <v>79</v>
      </c>
      <c r="J53" s="18">
        <f>IFERROR(COUNTIFS('Module 11 - GMP'!$B:$B,"Equipment &amp; maintenance",'Module 11 - GMP'!$C:$C,"C") / (COUNTIFS('Module 11 - GMP'!$B:$B,"Equipment &amp; maintenance",'Module 11 - GMP'!$C:$C,"&lt;&gt;",'Module 11 - GMP'!$C:$C,"&lt;&gt;N/A")),0)</f>
        <v>0</v>
      </c>
      <c r="K53" s="7">
        <f>COUNTIFS('Module 11 - GMP'!$B:$B,"Equipment &amp; maintenance",'Module 11 - GMP'!$C:$C,"MIN")+COUNTIFS('Module 11 - GMP'!$B:$B,"Equipment &amp; maintenance",'Module 11 - GMP'!$C:$C,"MAJ")+COUNTIFS('Module 11 - GMP'!$B:$B,"Equipment &amp; maintenance",'Module 11 - GMP'!$C:$C,"CRIT")</f>
        <v>0</v>
      </c>
    </row>
    <row r="54" ht="15.75" customHeight="1">
      <c r="B54" s="7" t="s">
        <v>232</v>
      </c>
      <c r="C54" s="7">
        <f>COUNTIF('Module 2 - System'!$D:$D,"&lt;&gt;") + COUNTIF('Module 11 - GMP'!$C:$C,"&lt;&gt;")</f>
        <v>41</v>
      </c>
      <c r="E54" s="7" t="s">
        <v>184</v>
      </c>
      <c r="F54" s="18">
        <f>IFERROR(COUNTIFS('Module 2 - System'!$B:$B,"2.7 Customer Complaints &amp; CAPA",'Module 2 - System'!$D:$D,"C") / (COUNTIFS('Module 2 - System'!$B:$B,"2.7 Customer Complaints &amp; CAPA",'Module 2 - System'!$D:$D,"&lt;&gt;",'Module 2 - System'!$D:$D,"&lt;&gt;N/A")),0)</f>
        <v>0</v>
      </c>
      <c r="G54" s="7">
        <f>COUNTIFS('Module 2 - System'!$B:$B,"2.7 Customer Complaints &amp; CAPA",'Module 2 - System'!$D:$D,"MIN")+COUNTIFS('Module 2 - System'!$B:$B,"2.7 Customer Complaints &amp; CAPA",'Module 2 - System'!$D:$D,"MAJ")+COUNTIFS('Module 2 - System'!$B:$B,"2.7 Customer Complaints &amp; CAPA",'Module 2 - System'!$D:$D,"CRIT")</f>
        <v>0</v>
      </c>
      <c r="I54" s="7" t="s">
        <v>83</v>
      </c>
      <c r="J54" s="18">
        <f>IFERROR(COUNTIFS('Module 11 - GMP'!$B:$B,"Calibration",'Module 11 - GMP'!$C:$C,"C") / (COUNTIFS('Module 11 - GMP'!$B:$B,"Calibration",'Module 11 - GMP'!$C:$C,"&lt;&gt;",'Module 11 - GMP'!$C:$C,"&lt;&gt;N/A")),0)</f>
        <v>0</v>
      </c>
      <c r="K54" s="7">
        <f>COUNTIFS('Module 11 - GMP'!$B:$B,"Calibration",'Module 11 - GMP'!$C:$C,"MIN")+COUNTIFS('Module 11 - GMP'!$B:$B,"Calibration",'Module 11 - GMP'!$C:$C,"MAJ")+COUNTIFS('Module 11 - GMP'!$B:$B,"Calibration",'Module 11 - GMP'!$C:$C,"CRIT")</f>
        <v>0</v>
      </c>
    </row>
    <row r="55" ht="15.75" customHeight="1">
      <c r="B55" s="7" t="s">
        <v>237</v>
      </c>
      <c r="C55" s="18">
        <f>IFERROR(C48/(C48+C49+C50+C51),0)</f>
        <v>0</v>
      </c>
      <c r="E55" s="7" t="s">
        <v>207</v>
      </c>
      <c r="F55" s="18">
        <f>IFERROR(COUNTIFS('Module 2 - System'!$B:$B,"2.8 Food Defense &amp; Food Fraud",'Module 2 - System'!$D:$D,"C") / (COUNTIFS('Module 2 - System'!$B:$B,"2.8 Food Defense &amp; Food Fraud",'Module 2 - System'!$D:$D,"&lt;&gt;",'Module 2 - System'!$D:$D,"&lt;&gt;N/A")),0)</f>
        <v>0</v>
      </c>
      <c r="G55" s="7">
        <f>COUNTIFS('Module 2 - System'!$B:$B,"2.8 Food Defense &amp; Food Fraud",'Module 2 - System'!$D:$D,"MIN")+COUNTIFS('Module 2 - System'!$B:$B,"2.8 Food Defense &amp; Food Fraud",'Module 2 - System'!$D:$D,"MAJ")+COUNTIFS('Module 2 - System'!$B:$B,"2.8 Food Defense &amp; Food Fraud",'Module 2 - System'!$D:$D,"CRIT")</f>
        <v>0</v>
      </c>
      <c r="I55" s="7" t="s">
        <v>87</v>
      </c>
      <c r="J55" s="18">
        <f>IFERROR(COUNTIFS('Module 11 - GMP'!$B:$B,"Glass &amp; brittle plastics",'Module 11 - GMP'!$C:$C,"C") / (COUNTIFS('Module 11 - GMP'!$B:$B,"Glass &amp; brittle plastics",'Module 11 - GMP'!$C:$C,"&lt;&gt;",'Module 11 - GMP'!$C:$C,"&lt;&gt;N/A")),0)</f>
        <v>0</v>
      </c>
      <c r="K55" s="7">
        <f>COUNTIFS('Module 11 - GMP'!$B:$B,"Glass &amp; brittle plastics",'Module 11 - GMP'!$C:$C,"MIN")+COUNTIFS('Module 11 - GMP'!$B:$B,"Glass &amp; brittle plastics",'Module 11 - GMP'!$C:$C,"MAJ")+COUNTIFS('Module 11 - GMP'!$B:$B,"Glass &amp; brittle plastics",'Module 11 - GMP'!$C:$C,"CRIT")</f>
        <v>0</v>
      </c>
    </row>
    <row r="56" ht="15.75" customHeight="1">
      <c r="E56" s="7" t="s">
        <v>221</v>
      </c>
      <c r="F56" s="18">
        <f>IFERROR(COUNTIFS('Module 2 - System'!$B:$B,"2.9 Training",'Module 2 - System'!$D:$D,"C") / (COUNTIFS('Module 2 - System'!$B:$B,"2.9 Training",'Module 2 - System'!$D:$D,"&lt;&gt;",'Module 2 - System'!$D:$D,"&lt;&gt;N/A")),0)</f>
        <v>0</v>
      </c>
      <c r="G56" s="7">
        <f>COUNTIFS('Module 2 - System'!$B:$B,"2.9 Training",'Module 2 - System'!$D:$D,"MIN")+COUNTIFS('Module 2 - System'!$B:$B,"2.9 Training",'Module 2 - System'!$D:$D,"MAJ")+COUNTIFS('Module 2 - System'!$B:$B,"2.9 Training",'Module 2 - System'!$D:$D,"CRIT")</f>
        <v>0</v>
      </c>
      <c r="I56" s="7" t="s">
        <v>94</v>
      </c>
      <c r="J56" s="18">
        <f>IFERROR(COUNTIFS('Module 11 - GMP'!$B:$B,"Foreign material control",'Module 11 - GMP'!$C:$C,"C") / (COUNTIFS('Module 11 - GMP'!$B:$B,"Foreign material control",'Module 11 - GMP'!$C:$C,"&lt;&gt;",'Module 11 - GMP'!$C:$C,"&lt;&gt;N/A")),0)</f>
        <v>0</v>
      </c>
      <c r="K56" s="7">
        <f>COUNTIFS('Module 11 - GMP'!$B:$B,"Foreign material control",'Module 11 - GMP'!$C:$C,"MIN")+COUNTIFS('Module 11 - GMP'!$B:$B,"Foreign material control",'Module 11 - GMP'!$C:$C,"MAJ")+COUNTIFS('Module 11 - GMP'!$B:$B,"Foreign material control",'Module 11 - GMP'!$C:$C,"CRIT")</f>
        <v>0</v>
      </c>
    </row>
    <row r="57" ht="15.75" customHeight="1">
      <c r="B57" s="7" t="s">
        <v>254</v>
      </c>
      <c r="C57" s="7">
        <f>C49+C50+C51</f>
        <v>0</v>
      </c>
      <c r="I57" s="7" t="s">
        <v>98</v>
      </c>
      <c r="J57" s="18">
        <f>IFERROR(COUNTIFS('Module 11 - GMP'!$B:$B,"Allergen management",'Module 11 - GMP'!$C:$C,"C") / (COUNTIFS('Module 11 - GMP'!$B:$B,"Allergen management",'Module 11 - GMP'!$C:$C,"&lt;&gt;",'Module 11 - GMP'!$C:$C,"&lt;&gt;N/A")),0)</f>
        <v>0</v>
      </c>
      <c r="K57" s="7">
        <f>COUNTIFS('Module 11 - GMP'!$B:$B,"Allergen management",'Module 11 - GMP'!$C:$C,"MIN")+COUNTIFS('Module 11 - GMP'!$B:$B,"Allergen management",'Module 11 - GMP'!$C:$C,"MAJ")+COUNTIFS('Module 11 - GMP'!$B:$B,"Allergen management",'Module 11 - GMP'!$C:$C,"CRIT")</f>
        <v>0</v>
      </c>
    </row>
    <row r="58" ht="15.75" customHeight="1">
      <c r="I58" s="7" t="s">
        <v>102</v>
      </c>
      <c r="J58" s="18">
        <f>IFERROR(COUNTIFS('Module 11 - GMP'!$B:$B,"Chemical control",'Module 11 - GMP'!$C:$C,"C") / (COUNTIFS('Module 11 - GMP'!$B:$B,"Chemical control",'Module 11 - GMP'!$C:$C,"&lt;&gt;",'Module 11 - GMP'!$C:$C,"&lt;&gt;N/A")),0)</f>
        <v>0</v>
      </c>
      <c r="K58" s="7">
        <f>COUNTIFS('Module 11 - GMP'!$B:$B,"Chemical control",'Module 11 - GMP'!$C:$C,"MIN")+COUNTIFS('Module 11 - GMP'!$B:$B,"Chemical control",'Module 11 - GMP'!$C:$C,"MAJ")+COUNTIFS('Module 11 - GMP'!$B:$B,"Chemical control",'Module 11 - GMP'!$C:$C,"CRIT")</f>
        <v>0</v>
      </c>
    </row>
    <row r="59" ht="15.75" customHeight="1">
      <c r="I59" s="7" t="s">
        <v>108</v>
      </c>
      <c r="J59" s="18">
        <f>IFERROR(COUNTIFS('Module 11 - GMP'!$B:$B,"Waste management",'Module 11 - GMP'!$C:$C,"C") / (COUNTIFS('Module 11 - GMP'!$B:$B,"Waste management",'Module 11 - GMP'!$C:$C,"&lt;&gt;",'Module 11 - GMP'!$C:$C,"&lt;&gt;N/A")),0)</f>
        <v>0</v>
      </c>
      <c r="K59" s="7">
        <f>COUNTIFS('Module 11 - GMP'!$B:$B,"Waste management",'Module 11 - GMP'!$C:$C,"MIN")+COUNTIFS('Module 11 - GMP'!$B:$B,"Waste management",'Module 11 - GMP'!$C:$C,"MAJ")+COUNTIFS('Module 11 - GMP'!$B:$B,"Waste management",'Module 11 - GMP'!$C:$C,"CRIT")</f>
        <v>0</v>
      </c>
    </row>
    <row r="60" ht="15.75" customHeight="1">
      <c r="I60" s="7" t="s">
        <v>115</v>
      </c>
      <c r="J60" s="18">
        <f>IFERROR(COUNTIFS('Module 11 - GMP'!$B:$B,"Rework",'Module 11 - GMP'!$C:$C,"C") / (COUNTIFS('Module 11 - GMP'!$B:$B,"Rework",'Module 11 - GMP'!$C:$C,"&lt;&gt;",'Module 11 - GMP'!$C:$C,"&lt;&gt;N/A")),0)</f>
        <v>0</v>
      </c>
      <c r="K60" s="7">
        <f>COUNTIFS('Module 11 - GMP'!$B:$B,"Rework",'Module 11 - GMP'!$C:$C,"MIN")+COUNTIFS('Module 11 - GMP'!$B:$B,"Rework",'Module 11 - GMP'!$C:$C,"MAJ")+COUNTIFS('Module 11 - GMP'!$B:$B,"Rework",'Module 11 - GMP'!$C:$C,"CRIT")</f>
        <v>0</v>
      </c>
    </row>
    <row r="61" ht="15.75" customHeight="1">
      <c r="I61" s="7" t="s">
        <v>120</v>
      </c>
      <c r="J61" s="18">
        <f>IFERROR(COUNTIFS('Module 11 - GMP'!$B:$B,"Storage &amp; transport",'Module 11 - GMP'!$C:$C,"C") / (COUNTIFS('Module 11 - GMP'!$B:$B,"Storage &amp; transport",'Module 11 - GMP'!$C:$C,"&lt;&gt;",'Module 11 - GMP'!$C:$C,"&lt;&gt;N/A")),0)</f>
        <v>0</v>
      </c>
      <c r="K61" s="7">
        <f>COUNTIFS('Module 11 - GMP'!$B:$B,"Storage &amp; transport",'Module 11 - GMP'!$C:$C,"MIN")+COUNTIFS('Module 11 - GMP'!$B:$B,"Storage &amp; transport",'Module 11 - GMP'!$C:$C,"MAJ")+COUNTIFS('Module 11 - GMP'!$B:$B,"Storage &amp; transport",'Module 11 - GMP'!$C:$C,"CRIT")</f>
        <v>0</v>
      </c>
    </row>
    <row r="62" ht="15.75" customHeight="1">
      <c r="I62" s="7" t="s">
        <v>123</v>
      </c>
      <c r="J62" s="18">
        <f>IFERROR(COUNTIFS('Module 11 - GMP'!$B:$B,"Product release",'Module 11 - GMP'!$C:$C,"C") / (COUNTIFS('Module 11 - GMP'!$B:$B,"Product release",'Module 11 - GMP'!$C:$C,"&lt;&gt;",'Module 11 - GMP'!$C:$C,"&lt;&gt;N/A")),0)</f>
        <v>0</v>
      </c>
      <c r="K62" s="7">
        <f>COUNTIFS('Module 11 - GMP'!$B:$B,"Product release",'Module 11 - GMP'!$C:$C,"MIN")+COUNTIFS('Module 11 - GMP'!$B:$B,"Product release",'Module 11 - GMP'!$C:$C,"MAJ")+COUNTIFS('Module 11 - GMP'!$B:$B,"Product release",'Module 11 - GMP'!$C:$C,"CRIT")</f>
        <v>0</v>
      </c>
    </row>
    <row r="63" ht="15.75" customHeight="1">
      <c r="I63" s="7" t="s">
        <v>128</v>
      </c>
      <c r="J63" s="18">
        <f>IFERROR(COUNTIFS('Module 11 - GMP'!$B:$B,"Labeling &amp; verification",'Module 11 - GMP'!$C:$C,"C") / (COUNTIFS('Module 11 - GMP'!$B:$B,"Labeling &amp; verification",'Module 11 - GMP'!$C:$C,"&lt;&gt;",'Module 11 - GMP'!$C:$C,"&lt;&gt;N/A")),0)</f>
        <v>0</v>
      </c>
      <c r="K63" s="7">
        <f>COUNTIFS('Module 11 - GMP'!$B:$B,"Labeling &amp; verification",'Module 11 - GMP'!$C:$C,"MIN")+COUNTIFS('Module 11 - GMP'!$B:$B,"Labeling &amp; verification",'Module 11 - GMP'!$C:$C,"MAJ")+COUNTIFS('Module 11 - GMP'!$B:$B,"Labeling &amp; verification",'Module 11 - GMP'!$C:$C,"CRIT")</f>
        <v>0</v>
      </c>
    </row>
    <row r="64" ht="15.75" customHeight="1">
      <c r="I64" s="7" t="s">
        <v>136</v>
      </c>
      <c r="J64" s="18">
        <f>IFERROR(COUNTIFS('Module 11 - GMP'!$B:$B,"Environmental monitoring",'Module 11 - GMP'!$C:$C,"C") / (COUNTIFS('Module 11 - GMP'!$B:$B,"Environmental monitoring",'Module 11 - GMP'!$C:$C,"&lt;&gt;",'Module 11 - GMP'!$C:$C,"&lt;&gt;N/A")),0)</f>
        <v>0</v>
      </c>
      <c r="K64" s="7">
        <f>COUNTIFS('Module 11 - GMP'!$B:$B,"Environmental monitoring",'Module 11 - GMP'!$C:$C,"MIN")+COUNTIFS('Module 11 - GMP'!$B:$B,"Environmental monitoring",'Module 11 - GMP'!$C:$C,"MAJ")+COUNTIFS('Module 11 - GMP'!$B:$B,"Environmental monitoring",'Module 11 - GMP'!$C:$C,"CRIT")</f>
        <v>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F47:F56 J47:J64">
      <formula1>AND(ISNUMBER(F47),(NOT(OR(NOT(ISERROR(DATEVALUE(F47))), AND(ISNUMBER(F47), LEFT(CELL("format", F47))="D")))))</formula1>
    </dataValidation>
  </dataValidations>
  <hyperlinks>
    <hyperlink r:id="rId1" location="watch-demo" ref="J30"/>
    <hyperlink r:id="rId2" ref="J31"/>
  </hyperlinks>
  <printOptions/>
  <pageMargins bottom="1.0" footer="0.0" header="0.0" left="0.75" right="0.75" top="1.0"/>
  <pageSetup orientation="landscape"/>
  <drawing r:id="rId3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42.0"/>
    <col customWidth="1" min="3" max="3" width="55.0"/>
    <col customWidth="1" min="4" max="4" width="16.0"/>
    <col customWidth="1" min="5" max="5" width="23.29"/>
    <col customWidth="1" min="6" max="6" width="43.0"/>
    <col customWidth="1" min="7" max="7" width="18.0"/>
    <col customWidth="1" min="8" max="26" width="8.71"/>
  </cols>
  <sheetData>
    <row r="1" ht="22.5" customHeight="1">
      <c r="A1" s="6" t="s">
        <v>48</v>
      </c>
      <c r="B1" s="6" t="s">
        <v>50</v>
      </c>
      <c r="C1" s="6" t="s">
        <v>53</v>
      </c>
      <c r="D1" s="6" t="s">
        <v>51</v>
      </c>
      <c r="E1" s="6" t="s">
        <v>52</v>
      </c>
      <c r="F1" s="6" t="s">
        <v>54</v>
      </c>
      <c r="G1" s="6" t="s">
        <v>55</v>
      </c>
    </row>
    <row r="2" ht="22.5" customHeight="1">
      <c r="A2" s="7" t="s">
        <v>58</v>
      </c>
      <c r="B2" s="7" t="s">
        <v>59</v>
      </c>
      <c r="C2" s="7" t="s">
        <v>60</v>
      </c>
      <c r="D2" s="12" t="s">
        <v>27</v>
      </c>
      <c r="E2" s="11"/>
    </row>
    <row r="3" ht="22.5" customHeight="1">
      <c r="A3" s="7" t="s">
        <v>63</v>
      </c>
      <c r="B3" s="7" t="s">
        <v>59</v>
      </c>
      <c r="C3" s="7" t="s">
        <v>64</v>
      </c>
      <c r="D3" s="12" t="s">
        <v>27</v>
      </c>
      <c r="E3" s="11"/>
    </row>
    <row r="4" ht="22.5" customHeight="1">
      <c r="A4" s="7" t="s">
        <v>67</v>
      </c>
      <c r="B4" s="7" t="s">
        <v>59</v>
      </c>
      <c r="C4" s="7" t="s">
        <v>68</v>
      </c>
      <c r="D4" s="12" t="s">
        <v>27</v>
      </c>
      <c r="E4" s="11"/>
    </row>
    <row r="5" ht="22.5" customHeight="1">
      <c r="A5" s="7" t="s">
        <v>71</v>
      </c>
      <c r="B5" s="7" t="s">
        <v>59</v>
      </c>
      <c r="C5" s="7" t="s">
        <v>72</v>
      </c>
      <c r="D5" s="12" t="s">
        <v>27</v>
      </c>
      <c r="E5" s="11"/>
    </row>
    <row r="6" ht="22.5" customHeight="1">
      <c r="A6" s="7" t="s">
        <v>75</v>
      </c>
      <c r="B6" s="7" t="s">
        <v>76</v>
      </c>
      <c r="C6" s="7" t="s">
        <v>77</v>
      </c>
      <c r="D6" s="12" t="s">
        <v>27</v>
      </c>
      <c r="E6" s="11"/>
    </row>
    <row r="7" ht="22.5" customHeight="1">
      <c r="A7" s="7" t="s">
        <v>80</v>
      </c>
      <c r="B7" s="7" t="s">
        <v>76</v>
      </c>
      <c r="C7" s="7" t="s">
        <v>81</v>
      </c>
      <c r="D7" s="12" t="s">
        <v>27</v>
      </c>
      <c r="E7" s="11"/>
    </row>
    <row r="8" ht="22.5" customHeight="1">
      <c r="A8" s="7" t="s">
        <v>84</v>
      </c>
      <c r="B8" s="7" t="s">
        <v>76</v>
      </c>
      <c r="C8" s="7" t="s">
        <v>85</v>
      </c>
      <c r="D8" s="12" t="s">
        <v>27</v>
      </c>
      <c r="E8" s="11"/>
    </row>
    <row r="9" ht="22.5" customHeight="1">
      <c r="A9" s="7" t="s">
        <v>88</v>
      </c>
      <c r="B9" s="7" t="s">
        <v>76</v>
      </c>
      <c r="C9" s="7" t="s">
        <v>89</v>
      </c>
      <c r="D9" s="12" t="s">
        <v>27</v>
      </c>
      <c r="E9" s="11"/>
    </row>
    <row r="10" ht="22.5" customHeight="1">
      <c r="A10" s="7" t="s">
        <v>90</v>
      </c>
      <c r="B10" s="7" t="s">
        <v>91</v>
      </c>
      <c r="C10" s="7" t="s">
        <v>92</v>
      </c>
      <c r="D10" s="12" t="s">
        <v>27</v>
      </c>
      <c r="E10" s="11"/>
    </row>
    <row r="11" ht="22.5" customHeight="1">
      <c r="A11" s="7" t="s">
        <v>95</v>
      </c>
      <c r="B11" s="7" t="s">
        <v>91</v>
      </c>
      <c r="C11" s="7" t="s">
        <v>96</v>
      </c>
      <c r="D11" s="12" t="s">
        <v>27</v>
      </c>
      <c r="E11" s="11"/>
    </row>
    <row r="12" ht="22.5" customHeight="1">
      <c r="A12" s="7" t="s">
        <v>99</v>
      </c>
      <c r="B12" s="7" t="s">
        <v>91</v>
      </c>
      <c r="C12" s="7" t="s">
        <v>100</v>
      </c>
      <c r="D12" s="12" t="s">
        <v>27</v>
      </c>
      <c r="E12" s="11"/>
    </row>
    <row r="13" ht="22.5" customHeight="1">
      <c r="A13" s="7" t="s">
        <v>104</v>
      </c>
      <c r="B13" s="7" t="s">
        <v>91</v>
      </c>
      <c r="C13" s="7" t="s">
        <v>106</v>
      </c>
      <c r="D13" s="12" t="s">
        <v>27</v>
      </c>
      <c r="E13" s="11"/>
    </row>
    <row r="14" ht="22.5" customHeight="1">
      <c r="A14" s="7" t="s">
        <v>111</v>
      </c>
      <c r="B14" s="7" t="s">
        <v>112</v>
      </c>
      <c r="C14" s="7" t="s">
        <v>113</v>
      </c>
      <c r="D14" s="12" t="s">
        <v>27</v>
      </c>
      <c r="E14" s="11"/>
    </row>
    <row r="15" ht="22.5" customHeight="1">
      <c r="A15" s="7" t="s">
        <v>117</v>
      </c>
      <c r="B15" s="7" t="s">
        <v>112</v>
      </c>
      <c r="C15" s="7" t="s">
        <v>119</v>
      </c>
      <c r="D15" s="12" t="s">
        <v>27</v>
      </c>
      <c r="E15" s="11"/>
    </row>
    <row r="16" ht="22.5" customHeight="1">
      <c r="A16" s="7" t="s">
        <v>121</v>
      </c>
      <c r="B16" s="7" t="s">
        <v>112</v>
      </c>
      <c r="C16" s="7" t="s">
        <v>124</v>
      </c>
      <c r="D16" s="12" t="s">
        <v>27</v>
      </c>
      <c r="E16" s="11"/>
    </row>
    <row r="17" ht="22.5" customHeight="1">
      <c r="A17" s="7" t="s">
        <v>127</v>
      </c>
      <c r="B17" s="7" t="s">
        <v>112</v>
      </c>
      <c r="C17" s="7" t="s">
        <v>129</v>
      </c>
      <c r="D17" s="12" t="s">
        <v>27</v>
      </c>
      <c r="E17" s="11"/>
    </row>
    <row r="18" ht="22.5" customHeight="1">
      <c r="A18" s="7" t="s">
        <v>131</v>
      </c>
      <c r="B18" s="7" t="s">
        <v>112</v>
      </c>
      <c r="C18" s="7" t="s">
        <v>132</v>
      </c>
      <c r="D18" s="12" t="s">
        <v>27</v>
      </c>
      <c r="E18" s="11"/>
    </row>
    <row r="19" ht="22.5" customHeight="1">
      <c r="A19" s="7" t="s">
        <v>133</v>
      </c>
      <c r="B19" s="7" t="s">
        <v>112</v>
      </c>
      <c r="C19" s="7" t="s">
        <v>135</v>
      </c>
      <c r="D19" s="12" t="s">
        <v>27</v>
      </c>
      <c r="E19" s="11"/>
      <c r="J19" s="13" t="s">
        <v>137</v>
      </c>
    </row>
    <row r="20" ht="22.5" customHeight="1">
      <c r="A20" s="7" t="s">
        <v>139</v>
      </c>
      <c r="B20" s="7" t="s">
        <v>112</v>
      </c>
      <c r="C20" s="7" t="s">
        <v>140</v>
      </c>
      <c r="D20" s="12" t="s">
        <v>27</v>
      </c>
      <c r="E20" s="11"/>
      <c r="J20" s="13" t="s">
        <v>141</v>
      </c>
    </row>
    <row r="21" ht="15.75" customHeight="1">
      <c r="A21" s="7" t="s">
        <v>143</v>
      </c>
      <c r="B21" s="7" t="s">
        <v>112</v>
      </c>
      <c r="C21" s="7" t="s">
        <v>145</v>
      </c>
      <c r="D21" s="12" t="s">
        <v>27</v>
      </c>
      <c r="E21" s="11"/>
    </row>
    <row r="22" ht="15.75" customHeight="1">
      <c r="A22" s="7" t="s">
        <v>146</v>
      </c>
      <c r="B22" s="7" t="s">
        <v>147</v>
      </c>
      <c r="C22" s="7" t="s">
        <v>149</v>
      </c>
      <c r="D22" s="12" t="s">
        <v>27</v>
      </c>
      <c r="E22" s="11"/>
    </row>
    <row r="23" ht="15.75" customHeight="1">
      <c r="A23" s="7" t="s">
        <v>150</v>
      </c>
      <c r="B23" s="7" t="s">
        <v>147</v>
      </c>
      <c r="C23" s="7" t="s">
        <v>152</v>
      </c>
      <c r="D23" s="12" t="s">
        <v>27</v>
      </c>
      <c r="E23" s="11"/>
    </row>
    <row r="24" ht="15.75" customHeight="1">
      <c r="A24" s="7" t="s">
        <v>158</v>
      </c>
      <c r="B24" s="7" t="s">
        <v>147</v>
      </c>
      <c r="C24" s="7" t="s">
        <v>160</v>
      </c>
      <c r="D24" s="12" t="s">
        <v>27</v>
      </c>
      <c r="E24" s="11"/>
    </row>
    <row r="25" ht="15.75" customHeight="1">
      <c r="A25" s="7" t="s">
        <v>162</v>
      </c>
      <c r="B25" s="7" t="s">
        <v>147</v>
      </c>
      <c r="C25" s="7" t="s">
        <v>164</v>
      </c>
      <c r="D25" s="12" t="s">
        <v>27</v>
      </c>
      <c r="E25" s="11"/>
    </row>
    <row r="26" ht="15.75" customHeight="1">
      <c r="A26" s="7" t="s">
        <v>166</v>
      </c>
      <c r="B26" s="7" t="s">
        <v>147</v>
      </c>
      <c r="C26" s="7" t="s">
        <v>167</v>
      </c>
      <c r="D26" s="12" t="s">
        <v>27</v>
      </c>
      <c r="E26" s="11"/>
    </row>
    <row r="27" ht="15.75" customHeight="1">
      <c r="A27" s="7" t="s">
        <v>168</v>
      </c>
      <c r="B27" s="7" t="s">
        <v>169</v>
      </c>
      <c r="C27" s="7" t="s">
        <v>170</v>
      </c>
      <c r="D27" s="12" t="s">
        <v>27</v>
      </c>
      <c r="E27" s="11"/>
    </row>
    <row r="28" ht="15.75" customHeight="1">
      <c r="A28" s="7" t="s">
        <v>171</v>
      </c>
      <c r="B28" s="7" t="s">
        <v>169</v>
      </c>
      <c r="C28" s="7" t="s">
        <v>172</v>
      </c>
      <c r="D28" s="12" t="s">
        <v>27</v>
      </c>
      <c r="E28" s="11"/>
    </row>
    <row r="29" ht="15.75" customHeight="1">
      <c r="A29" s="7" t="s">
        <v>173</v>
      </c>
      <c r="B29" s="7" t="s">
        <v>169</v>
      </c>
      <c r="C29" s="7" t="s">
        <v>174</v>
      </c>
      <c r="D29" s="12" t="s">
        <v>27</v>
      </c>
      <c r="E29" s="11"/>
    </row>
    <row r="30" ht="15.75" customHeight="1">
      <c r="A30" s="7" t="s">
        <v>177</v>
      </c>
      <c r="B30" s="7" t="s">
        <v>169</v>
      </c>
      <c r="C30" s="7" t="s">
        <v>179</v>
      </c>
      <c r="D30" s="12" t="s">
        <v>27</v>
      </c>
      <c r="E30" s="11"/>
    </row>
    <row r="31" ht="15.75" customHeight="1">
      <c r="A31" s="7" t="s">
        <v>183</v>
      </c>
      <c r="B31" s="7" t="s">
        <v>184</v>
      </c>
      <c r="C31" s="7" t="s">
        <v>186</v>
      </c>
      <c r="D31" s="12" t="s">
        <v>27</v>
      </c>
      <c r="E31" s="11"/>
    </row>
    <row r="32" ht="15.75" customHeight="1">
      <c r="A32" s="7" t="s">
        <v>190</v>
      </c>
      <c r="B32" s="7" t="s">
        <v>184</v>
      </c>
      <c r="C32" s="7" t="s">
        <v>192</v>
      </c>
      <c r="D32" s="12" t="s">
        <v>27</v>
      </c>
      <c r="E32" s="11"/>
    </row>
    <row r="33" ht="15.75" customHeight="1">
      <c r="A33" s="7" t="s">
        <v>197</v>
      </c>
      <c r="B33" s="7" t="s">
        <v>184</v>
      </c>
      <c r="C33" s="7" t="s">
        <v>200</v>
      </c>
      <c r="D33" s="12" t="s">
        <v>27</v>
      </c>
      <c r="E33" s="11"/>
    </row>
    <row r="34" ht="15.75" customHeight="1">
      <c r="A34" s="7" t="s">
        <v>206</v>
      </c>
      <c r="B34" s="7" t="s">
        <v>207</v>
      </c>
      <c r="C34" s="7" t="s">
        <v>209</v>
      </c>
      <c r="D34" s="12" t="s">
        <v>27</v>
      </c>
      <c r="E34" s="11"/>
    </row>
    <row r="35" ht="15.75" customHeight="1">
      <c r="A35" s="7" t="s">
        <v>214</v>
      </c>
      <c r="B35" s="7" t="s">
        <v>207</v>
      </c>
      <c r="C35" s="7" t="s">
        <v>215</v>
      </c>
      <c r="D35" s="12" t="s">
        <v>27</v>
      </c>
      <c r="E35" s="11"/>
    </row>
    <row r="36" ht="15.75" customHeight="1">
      <c r="A36" s="7" t="s">
        <v>216</v>
      </c>
      <c r="B36" s="7" t="s">
        <v>207</v>
      </c>
      <c r="C36" s="7" t="s">
        <v>217</v>
      </c>
      <c r="D36" s="12" t="s">
        <v>27</v>
      </c>
      <c r="E36" s="11"/>
    </row>
    <row r="37" ht="15.75" customHeight="1">
      <c r="A37" s="7" t="s">
        <v>218</v>
      </c>
      <c r="B37" s="7" t="s">
        <v>207</v>
      </c>
      <c r="C37" s="7" t="s">
        <v>219</v>
      </c>
      <c r="D37" s="12" t="s">
        <v>27</v>
      </c>
      <c r="E37" s="11"/>
    </row>
    <row r="38" ht="15.75" customHeight="1">
      <c r="A38" s="7" t="s">
        <v>220</v>
      </c>
      <c r="B38" s="7" t="s">
        <v>221</v>
      </c>
      <c r="C38" s="7" t="s">
        <v>222</v>
      </c>
      <c r="D38" s="12" t="s">
        <v>27</v>
      </c>
      <c r="E38" s="11"/>
    </row>
    <row r="39" ht="15.75" customHeight="1">
      <c r="A39" s="7" t="s">
        <v>223</v>
      </c>
      <c r="B39" s="7" t="s">
        <v>221</v>
      </c>
      <c r="C39" s="7" t="s">
        <v>224</v>
      </c>
      <c r="D39" s="12" t="s">
        <v>27</v>
      </c>
      <c r="E39" s="11"/>
    </row>
    <row r="40" ht="15.75" customHeight="1">
      <c r="A40" s="7" t="s">
        <v>225</v>
      </c>
      <c r="B40" s="7" t="s">
        <v>221</v>
      </c>
      <c r="C40" s="7" t="s">
        <v>226</v>
      </c>
      <c r="D40" s="12" t="s">
        <v>27</v>
      </c>
      <c r="E40" s="1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40">
      <formula1>"R,D,I,O"</formula1>
    </dataValidation>
    <dataValidation type="list" allowBlank="1" showDropDown="1" showErrorMessage="1" sqref="D2:D40">
      <formula1>"C,MAJ,N/A,MIN"</formula1>
    </dataValidation>
  </dataValidations>
  <hyperlinks>
    <hyperlink r:id="rId1" location="watch-demo" ref="J19"/>
    <hyperlink r:id="rId2" ref="J20"/>
  </hyperlinks>
  <printOptions/>
  <pageMargins bottom="1.0" footer="0.0" header="0.0" left="0.75" right="0.75" top="1.0"/>
  <pageSetup orientation="landscape"/>
  <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32.0"/>
    <col customWidth="1" min="3" max="3" width="16.0"/>
    <col customWidth="1" min="4" max="4" width="23.29"/>
    <col customWidth="1" min="5" max="5" width="110.14"/>
    <col customWidth="1" min="6" max="6" width="17.0"/>
    <col customWidth="1" min="7" max="26" width="8.71"/>
  </cols>
  <sheetData>
    <row r="1" ht="22.5" customHeight="1">
      <c r="A1" s="6" t="s">
        <v>48</v>
      </c>
      <c r="B1" s="6" t="s">
        <v>49</v>
      </c>
      <c r="C1" s="6" t="s">
        <v>51</v>
      </c>
      <c r="D1" s="6" t="s">
        <v>52</v>
      </c>
      <c r="E1" s="6" t="s">
        <v>54</v>
      </c>
      <c r="F1" s="6" t="s">
        <v>55</v>
      </c>
    </row>
    <row r="2" ht="22.5" customHeight="1">
      <c r="A2" s="7" t="s">
        <v>56</v>
      </c>
      <c r="B2" s="7" t="s">
        <v>57</v>
      </c>
      <c r="C2" s="11"/>
      <c r="D2" s="11"/>
    </row>
    <row r="3" ht="22.5" customHeight="1">
      <c r="A3" s="7" t="s">
        <v>61</v>
      </c>
      <c r="B3" s="7" t="s">
        <v>62</v>
      </c>
      <c r="C3" s="11"/>
      <c r="D3" s="11"/>
    </row>
    <row r="4" ht="22.5" customHeight="1">
      <c r="A4" s="7" t="s">
        <v>65</v>
      </c>
      <c r="B4" s="7" t="s">
        <v>66</v>
      </c>
      <c r="C4" s="11"/>
      <c r="D4" s="11"/>
    </row>
    <row r="5" ht="22.5" customHeight="1">
      <c r="A5" s="7" t="s">
        <v>69</v>
      </c>
      <c r="B5" s="7" t="s">
        <v>70</v>
      </c>
      <c r="C5" s="11"/>
      <c r="D5" s="11"/>
    </row>
    <row r="6" ht="22.5" customHeight="1">
      <c r="A6" s="7" t="s">
        <v>73</v>
      </c>
      <c r="B6" s="7" t="s">
        <v>74</v>
      </c>
      <c r="C6" s="11"/>
      <c r="D6" s="11"/>
    </row>
    <row r="7" ht="22.5" customHeight="1">
      <c r="A7" s="7" t="s">
        <v>78</v>
      </c>
      <c r="B7" s="7" t="s">
        <v>79</v>
      </c>
      <c r="C7" s="11"/>
      <c r="D7" s="11"/>
    </row>
    <row r="8" ht="22.5" customHeight="1">
      <c r="A8" s="7" t="s">
        <v>82</v>
      </c>
      <c r="B8" s="7" t="s">
        <v>83</v>
      </c>
      <c r="C8" s="11"/>
      <c r="D8" s="11"/>
    </row>
    <row r="9" ht="22.5" customHeight="1">
      <c r="A9" s="7" t="s">
        <v>86</v>
      </c>
      <c r="B9" s="7" t="s">
        <v>87</v>
      </c>
      <c r="C9" s="11"/>
      <c r="D9" s="11"/>
    </row>
    <row r="10" ht="22.5" customHeight="1">
      <c r="A10" s="7" t="s">
        <v>93</v>
      </c>
      <c r="B10" s="7" t="s">
        <v>94</v>
      </c>
      <c r="C10" s="11"/>
      <c r="D10" s="11"/>
    </row>
    <row r="11" ht="22.5" customHeight="1">
      <c r="A11" s="7" t="s">
        <v>97</v>
      </c>
      <c r="B11" s="7" t="s">
        <v>98</v>
      </c>
      <c r="C11" s="11"/>
      <c r="D11" s="11"/>
    </row>
    <row r="12" ht="22.5" customHeight="1">
      <c r="A12" s="7" t="s">
        <v>101</v>
      </c>
      <c r="B12" s="7" t="s">
        <v>102</v>
      </c>
      <c r="C12" s="11"/>
      <c r="D12" s="11"/>
    </row>
    <row r="13" ht="22.5" customHeight="1">
      <c r="A13" s="7" t="s">
        <v>107</v>
      </c>
      <c r="B13" s="7" t="s">
        <v>108</v>
      </c>
      <c r="C13" s="11"/>
      <c r="D13" s="11"/>
    </row>
    <row r="14" ht="22.5" customHeight="1">
      <c r="A14" s="7" t="s">
        <v>114</v>
      </c>
      <c r="B14" s="7" t="s">
        <v>115</v>
      </c>
      <c r="C14" s="11"/>
      <c r="D14" s="11"/>
    </row>
    <row r="15" ht="22.5" customHeight="1">
      <c r="A15" s="7" t="s">
        <v>118</v>
      </c>
      <c r="B15" s="7" t="s">
        <v>120</v>
      </c>
      <c r="C15" s="11"/>
      <c r="D15" s="11"/>
    </row>
    <row r="16" ht="22.5" customHeight="1">
      <c r="A16" s="7" t="s">
        <v>122</v>
      </c>
      <c r="B16" s="7" t="s">
        <v>123</v>
      </c>
      <c r="C16" s="11"/>
      <c r="D16" s="11"/>
    </row>
    <row r="17" ht="22.5" customHeight="1">
      <c r="A17" s="7" t="s">
        <v>126</v>
      </c>
      <c r="B17" s="7" t="s">
        <v>128</v>
      </c>
      <c r="C17" s="11"/>
      <c r="D17" s="11"/>
      <c r="I17" s="13" t="s">
        <v>130</v>
      </c>
    </row>
    <row r="18" ht="22.5" customHeight="1">
      <c r="A18" s="7" t="s">
        <v>134</v>
      </c>
      <c r="B18" s="7" t="s">
        <v>136</v>
      </c>
      <c r="C18" s="11"/>
      <c r="D18" s="11"/>
      <c r="I18" s="13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18">
      <formula1>"MIN,C,MAJ"</formula1>
    </dataValidation>
    <dataValidation type="list" allowBlank="1" showDropDown="1" showErrorMessage="1" sqref="D2:D18">
      <formula1>"O,R,D,I"</formula1>
    </dataValidation>
  </dataValidations>
  <hyperlinks>
    <hyperlink r:id="rId1" location="watch-demo" ref="I17"/>
    <hyperlink r:id="rId2" ref="I18"/>
  </hyperlinks>
  <printOptions/>
  <pageMargins bottom="1.0" footer="0.0" header="0.0" left="0.75" right="0.75" top="1.0"/>
  <pageSetup orientation="landscape"/>
  <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96.29"/>
    <col customWidth="1" min="3" max="3" width="13.57"/>
    <col customWidth="1" min="4" max="4" width="17.0"/>
    <col customWidth="1" min="5" max="5" width="105.14"/>
    <col customWidth="1" min="6" max="6" width="17.29"/>
    <col customWidth="1" min="7" max="26" width="8.71"/>
  </cols>
  <sheetData>
    <row r="1" ht="22.5" customHeight="1">
      <c r="A1" s="6" t="s">
        <v>48</v>
      </c>
      <c r="B1" s="6" t="s">
        <v>103</v>
      </c>
      <c r="C1" s="6" t="s">
        <v>105</v>
      </c>
      <c r="D1" s="6" t="s">
        <v>55</v>
      </c>
      <c r="E1" s="6" t="s">
        <v>109</v>
      </c>
      <c r="F1" s="6" t="s">
        <v>110</v>
      </c>
    </row>
    <row r="2" ht="22.5" customHeight="1"/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>
      <c r="I17" s="13" t="s">
        <v>116</v>
      </c>
    </row>
    <row r="18" ht="22.5" customHeight="1">
      <c r="I18" s="13" t="s">
        <v>125</v>
      </c>
    </row>
    <row r="19" ht="22.5" customHeight="1"/>
    <row r="20" ht="22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watch-demo" ref="I17"/>
    <hyperlink r:id="rId2" ref="I18"/>
  </hyperlinks>
  <printOptions/>
  <pageMargins bottom="1.0" footer="0.0" header="0.0" left="0.75" right="0.75" top="1.0"/>
  <pageSetup orientation="landscape"/>
  <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66.0"/>
    <col customWidth="1" min="3" max="26" width="8.71"/>
  </cols>
  <sheetData>
    <row r="1" ht="22.5" customHeight="1">
      <c r="A1" s="6" t="s">
        <v>175</v>
      </c>
      <c r="B1" s="6" t="s">
        <v>176</v>
      </c>
    </row>
    <row r="2" ht="22.5" customHeight="1">
      <c r="A2" s="7" t="s">
        <v>10</v>
      </c>
      <c r="B2" s="7" t="s">
        <v>178</v>
      </c>
    </row>
    <row r="3" ht="22.5" customHeight="1">
      <c r="A3" s="7" t="s">
        <v>180</v>
      </c>
      <c r="B3" s="7" t="s">
        <v>181</v>
      </c>
    </row>
    <row r="4" ht="22.5" customHeight="1">
      <c r="A4" s="7" t="s">
        <v>182</v>
      </c>
      <c r="B4" s="7" t="s">
        <v>185</v>
      </c>
    </row>
    <row r="5" ht="22.5" customHeight="1">
      <c r="A5" s="7" t="s">
        <v>187</v>
      </c>
      <c r="B5" s="7" t="s">
        <v>188</v>
      </c>
    </row>
    <row r="6" ht="22.5" customHeight="1">
      <c r="A6" s="7" t="s">
        <v>189</v>
      </c>
      <c r="B6" s="7" t="s">
        <v>191</v>
      </c>
    </row>
    <row r="7" ht="22.5" customHeight="1">
      <c r="A7" s="7" t="s">
        <v>193</v>
      </c>
      <c r="B7" s="7" t="s">
        <v>194</v>
      </c>
    </row>
    <row r="8" ht="22.5" customHeight="1">
      <c r="A8" s="7" t="s">
        <v>195</v>
      </c>
      <c r="B8" s="7" t="s">
        <v>196</v>
      </c>
    </row>
    <row r="9" ht="22.5" customHeight="1">
      <c r="A9" s="7" t="s">
        <v>198</v>
      </c>
      <c r="B9" s="7" t="s">
        <v>199</v>
      </c>
    </row>
    <row r="10" ht="22.5" customHeight="1">
      <c r="A10" s="7" t="s">
        <v>201</v>
      </c>
      <c r="B10" s="7" t="s">
        <v>202</v>
      </c>
    </row>
    <row r="11" ht="22.5" customHeight="1">
      <c r="A11" s="7" t="s">
        <v>203</v>
      </c>
      <c r="B11" s="7" t="s">
        <v>204</v>
      </c>
    </row>
    <row r="12" ht="22.5" customHeight="1">
      <c r="A12" s="7" t="s">
        <v>205</v>
      </c>
      <c r="B12" s="7" t="s">
        <v>208</v>
      </c>
    </row>
    <row r="13" ht="22.5" customHeight="1">
      <c r="A13" s="7" t="s">
        <v>210</v>
      </c>
      <c r="B13" s="7" t="s">
        <v>211</v>
      </c>
    </row>
    <row r="14" ht="22.5" customHeight="1">
      <c r="A14" s="7" t="s">
        <v>212</v>
      </c>
      <c r="B14" s="7" t="s">
        <v>213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14"/>
    <col customWidth="1" min="2" max="2" width="18.0"/>
    <col customWidth="1" min="3" max="3" width="8.71"/>
    <col customWidth="1" min="4" max="4" width="55.57"/>
    <col customWidth="1" min="5" max="5" width="18.86"/>
    <col customWidth="1" min="6" max="6" width="15.14"/>
    <col customWidth="1" min="7" max="7" width="8.71"/>
    <col customWidth="1" min="8" max="8" width="55.57"/>
    <col customWidth="1" min="9" max="9" width="18.86"/>
    <col customWidth="1" min="10" max="10" width="15.14"/>
    <col customWidth="1" min="11" max="26" width="8.71"/>
  </cols>
  <sheetData>
    <row r="3">
      <c r="A3" s="14" t="s">
        <v>246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L30" s="13" t="s">
        <v>248</v>
      </c>
    </row>
    <row r="31" ht="15.75" customHeight="1">
      <c r="L31" s="13" t="s">
        <v>250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A44" s="16" t="s">
        <v>151</v>
      </c>
    </row>
    <row r="45" ht="15.75" customHeight="1"/>
    <row r="46" ht="15.75" customHeight="1">
      <c r="A46" s="6" t="s">
        <v>154</v>
      </c>
      <c r="B46" s="6" t="s">
        <v>155</v>
      </c>
      <c r="D46" s="6" t="s">
        <v>156</v>
      </c>
      <c r="E46" s="6" t="s">
        <v>155</v>
      </c>
      <c r="F46" s="6" t="s">
        <v>157</v>
      </c>
      <c r="H46" s="6" t="s">
        <v>159</v>
      </c>
      <c r="I46" s="6" t="s">
        <v>155</v>
      </c>
      <c r="J46" s="6" t="s">
        <v>157</v>
      </c>
    </row>
    <row r="47" ht="15.75" customHeight="1">
      <c r="A47" s="7" t="s">
        <v>51</v>
      </c>
      <c r="B47" s="7" t="s">
        <v>161</v>
      </c>
      <c r="D47" s="7" t="s">
        <v>50</v>
      </c>
      <c r="E47" s="17" t="s">
        <v>163</v>
      </c>
      <c r="F47" s="7" t="s">
        <v>165</v>
      </c>
      <c r="H47" s="7" t="s">
        <v>49</v>
      </c>
      <c r="I47" s="17" t="s">
        <v>163</v>
      </c>
      <c r="J47" s="7" t="s">
        <v>165</v>
      </c>
    </row>
    <row r="48" ht="15.75" customHeight="1">
      <c r="A48" s="7" t="s">
        <v>9</v>
      </c>
      <c r="B48" s="7">
        <f>COUNTIF('(EXAMPLE) Module 2 - System'!$D:$D,"C") + COUNTIF('(EXAMPLE) Module 11 - GMP'!$C:$C,"C")</f>
        <v>32</v>
      </c>
      <c r="D48" s="7" t="s">
        <v>59</v>
      </c>
      <c r="E48" s="18">
        <f>IFERROR(COUNTIFS('(EXAMPLE) Module 2 - System'!$B:$B,"2.1 Management Commitment",'(EXAMPLE) Module 2 - System'!$D:$D,"C") / (COUNTIFS('(EXAMPLE) Module 2 - System'!$B:$B,"2.1 Management Commitment",'(EXAMPLE) Module 2 - System'!$D:$D,"&lt;&gt;",'(EXAMPLE) Module 2 - System'!$D:$D,"&lt;&gt;N/A")),0)</f>
        <v>0.75</v>
      </c>
      <c r="F48" s="7">
        <f>COUNTIFS('(EXAMPLE) Module 2 - System'!$B:$B,"2.1 Management Commitment",'(EXAMPLE) Module 2 - System'!$D:$D,"MIN")+COUNTIFS('(EXAMPLE) Module 2 - System'!$B:$B,"2.1 Management Commitment",'(EXAMPLE) Module 2 - System'!$D:$D,"MAJ")+COUNTIFS('(EXAMPLE) Module 2 - System'!$B:$B,"2.1 Management Commitment",'(EXAMPLE) Module 2 - System'!$D:$D,"CRIT")</f>
        <v>1</v>
      </c>
      <c r="H48" s="7" t="s">
        <v>57</v>
      </c>
      <c r="I48" s="18">
        <f>IFERROR(COUNTIFS('(EXAMPLE) Module 11 - GMP'!$B:$B,"Site &amp; premises",'(EXAMPLE) Module 11 - GMP'!$C:$C,"C") / (COUNTIFS('(EXAMPLE) Module 11 - GMP'!$B:$B,"Site &amp; premises",'(EXAMPLE) Module 11 - GMP'!$C:$C,"&lt;&gt;",'(EXAMPLE) Module 11 - GMP'!$C:$C,"&lt;&gt;N/A")),0)</f>
        <v>0</v>
      </c>
      <c r="J48" s="7">
        <f>COUNTIFS('(EXAMPLE) Module 11 - GMP'!$B:$B,"Site &amp; premises",'(EXAMPLE) Module 11 - GMP'!$C:$C,"MIN")+COUNTIFS('(EXAMPLE) Module 11 - GMP'!$B:$B,"Site &amp; premises",'(EXAMPLE) Module 11 - GMP'!$C:$C,"MAJ")+COUNTIFS('(EXAMPLE) Module 11 - GMP'!$B:$B,"Site &amp; premises",'(EXAMPLE) Module 11 - GMP'!$C:$C,"CRIT")</f>
        <v>1</v>
      </c>
    </row>
    <row r="49" ht="15.75" customHeight="1">
      <c r="A49" s="7" t="s">
        <v>14</v>
      </c>
      <c r="B49" s="7">
        <f>COUNTIF('(EXAMPLE) Module 2 - System'!$D:$D,"MIN") + COUNTIF('(EXAMPLE) Module 11 - GMP'!$C:$C,"MIN")</f>
        <v>13</v>
      </c>
      <c r="D49" s="7" t="s">
        <v>76</v>
      </c>
      <c r="E49" s="18">
        <f>IFERROR(COUNTIFS('(EXAMPLE) Module 2 - System'!$B:$B,"2.2 Document Control &amp; Records",'(EXAMPLE) Module 2 - System'!$D:$D,"C") / (COUNTIFS('(EXAMPLE) Module 2 - System'!$B:$B,"2.2 Document Control &amp; Records",'(EXAMPLE) Module 2 - System'!$D:$D,"&lt;&gt;",'(EXAMPLE) Module 2 - System'!$D:$D,"&lt;&gt;N/A")),0)</f>
        <v>0.75</v>
      </c>
      <c r="F49" s="7">
        <f>COUNTIFS('(EXAMPLE) Module 2 - System'!$B:$B,"2.2 Document Control &amp; Records",'(EXAMPLE) Module 2 - System'!$D:$D,"MIN")+COUNTIFS('(EXAMPLE) Module 2 - System'!$B:$B,"2.2 Document Control &amp; Records",'(EXAMPLE) Module 2 - System'!$D:$D,"MAJ")+COUNTIFS('(EXAMPLE) Module 2 - System'!$B:$B,"2.2 Document Control &amp; Records",'(EXAMPLE) Module 2 - System'!$D:$D,"CRIT")</f>
        <v>1</v>
      </c>
      <c r="H49" s="7" t="s">
        <v>62</v>
      </c>
      <c r="I49" s="18">
        <f>IFERROR(COUNTIFS('(EXAMPLE) Module 11 - GMP'!$B:$B,"Personnel hygiene",'(EXAMPLE) Module 11 - GMP'!$C:$C,"C") / (COUNTIFS('(EXAMPLE) Module 11 - GMP'!$B:$B,"Personnel hygiene",'(EXAMPLE) Module 11 - GMP'!$C:$C,"&lt;&gt;",'(EXAMPLE) Module 11 - GMP'!$C:$C,"&lt;&gt;N/A")),0)</f>
        <v>1</v>
      </c>
      <c r="J49" s="7">
        <f>COUNTIFS('(EXAMPLE) Module 11 - GMP'!$B:$B,"Personnel hygiene",'(EXAMPLE) Module 11 - GMP'!$C:$C,"MIN")+COUNTIFS('(EXAMPLE) Module 11 - GMP'!$B:$B,"Personnel hygiene",'(EXAMPLE) Module 11 - GMP'!$C:$C,"MAJ")+COUNTIFS('(EXAMPLE) Module 11 - GMP'!$B:$B,"Personnel hygiene",'(EXAMPLE) Module 11 - GMP'!$C:$C,"CRIT")</f>
        <v>0</v>
      </c>
    </row>
    <row r="50" ht="15.75" customHeight="1">
      <c r="A50" s="7" t="s">
        <v>19</v>
      </c>
      <c r="B50" s="7">
        <f>COUNTIF('(EXAMPLE) Module 2 - System'!$D:$D,"MAJ") + COUNTIF('(EXAMPLE) Module 11 - GMP'!$C:$C,"MAJ")</f>
        <v>10</v>
      </c>
      <c r="D50" s="7" t="s">
        <v>91</v>
      </c>
      <c r="E50" s="18">
        <f>IFERROR(COUNTIFS('(EXAMPLE) Module 2 - System'!$B:$B,"2.3 Specifications &amp; Supplier Management",'(EXAMPLE) Module 2 - System'!$D:$D,"C") / (COUNTIFS('(EXAMPLE) Module 2 - System'!$B:$B,"2.3 Specifications &amp; Supplier Management",'(EXAMPLE) Module 2 - System'!$D:$D,"&lt;&gt;",'(EXAMPLE) Module 2 - System'!$D:$D,"&lt;&gt;N/A")),0)</f>
        <v>0.3333333333</v>
      </c>
      <c r="F50" s="7">
        <f>COUNTIFS('(EXAMPLE) Module 2 - System'!$B:$B,"2.3 Specifications &amp; Supplier Management",'(EXAMPLE) Module 2 - System'!$D:$D,"MIN")+COUNTIFS('(EXAMPLE) Module 2 - System'!$B:$B,"2.3 Specifications &amp; Supplier Management",'(EXAMPLE) Module 2 - System'!$D:$D,"MAJ")+COUNTIFS('(EXAMPLE) Module 2 - System'!$B:$B,"2.3 Specifications &amp; Supplier Management",'(EXAMPLE) Module 2 - System'!$D:$D,"CRIT")</f>
        <v>2</v>
      </c>
      <c r="H50" s="7" t="s">
        <v>66</v>
      </c>
      <c r="I50" s="18">
        <f>IFERROR(COUNTIFS('(EXAMPLE) Module 11 - GMP'!$B:$B,"Water / Air / Ice",'(EXAMPLE) Module 11 - GMP'!$C:$C,"C") / (COUNTIFS('(EXAMPLE) Module 11 - GMP'!$B:$B,"Water / Air / Ice",'(EXAMPLE) Module 11 - GMP'!$C:$C,"&lt;&gt;",'(EXAMPLE) Module 11 - GMP'!$C:$C,"&lt;&gt;N/A")),0)</f>
        <v>0</v>
      </c>
      <c r="J50" s="7">
        <f>COUNTIFS('(EXAMPLE) Module 11 - GMP'!$B:$B,"Water / Air / Ice",'(EXAMPLE) Module 11 - GMP'!$C:$C,"MIN")+COUNTIFS('(EXAMPLE) Module 11 - GMP'!$B:$B,"Water / Air / Ice",'(EXAMPLE) Module 11 - GMP'!$C:$C,"MAJ")+COUNTIFS('(EXAMPLE) Module 11 - GMP'!$B:$B,"Water / Air / Ice",'(EXAMPLE) Module 11 - GMP'!$C:$C,"CRIT")</f>
        <v>1</v>
      </c>
    </row>
    <row r="51" ht="15.75" customHeight="1">
      <c r="A51" s="7" t="s">
        <v>23</v>
      </c>
      <c r="B51" s="7">
        <f>COUNTIF('(EXAMPLE) Module 2 - System'!$D:$D,"CRIT") + COUNTIF('(EXAMPLE) Module 11 - GMP'!$C:$C,"CRIT")</f>
        <v>0</v>
      </c>
      <c r="D51" s="7" t="s">
        <v>112</v>
      </c>
      <c r="E51" s="18">
        <f>IFERROR(COUNTIFS('(EXAMPLE) Module 2 - System'!$B:$B,"2.4 Food Safety System (HACCP)",'(EXAMPLE) Module 2 - System'!$D:$D,"C") / (COUNTIFS('(EXAMPLE) Module 2 - System'!$B:$B,"2.4 Food Safety System (HACCP)",'(EXAMPLE) Module 2 - System'!$D:$D,"&lt;&gt;",'(EXAMPLE) Module 2 - System'!$D:$D,"&lt;&gt;N/A")),0)</f>
        <v>0.75</v>
      </c>
      <c r="F51" s="7">
        <f>COUNTIFS('(EXAMPLE) Module 2 - System'!$B:$B,"2.4 Food Safety System (HACCP)",'(EXAMPLE) Module 2 - System'!$D:$D,"MIN")+COUNTIFS('(EXAMPLE) Module 2 - System'!$B:$B,"2.4 Food Safety System (HACCP)",'(EXAMPLE) Module 2 - System'!$D:$D,"MAJ")+COUNTIFS('(EXAMPLE) Module 2 - System'!$B:$B,"2.4 Food Safety System (HACCP)",'(EXAMPLE) Module 2 - System'!$D:$D,"CRIT")</f>
        <v>2</v>
      </c>
      <c r="H51" s="7" t="s">
        <v>70</v>
      </c>
      <c r="I51" s="18">
        <f>IFERROR(COUNTIFS('(EXAMPLE) Module 11 - GMP'!$B:$B,"Cleaning &amp; sanitation",'(EXAMPLE) Module 11 - GMP'!$C:$C,"C") / (COUNTIFS('(EXAMPLE) Module 11 - GMP'!$B:$B,"Cleaning &amp; sanitation",'(EXAMPLE) Module 11 - GMP'!$C:$C,"&lt;&gt;",'(EXAMPLE) Module 11 - GMP'!$C:$C,"&lt;&gt;N/A")),0)</f>
        <v>0</v>
      </c>
      <c r="J51" s="7">
        <f>COUNTIFS('(EXAMPLE) Module 11 - GMP'!$B:$B,"Cleaning &amp; sanitation",'(EXAMPLE) Module 11 - GMP'!$C:$C,"MIN")+COUNTIFS('(EXAMPLE) Module 11 - GMP'!$B:$B,"Cleaning &amp; sanitation",'(EXAMPLE) Module 11 - GMP'!$C:$C,"MAJ")+COUNTIFS('(EXAMPLE) Module 11 - GMP'!$B:$B,"Cleaning &amp; sanitation",'(EXAMPLE) Module 11 - GMP'!$C:$C,"CRIT")</f>
        <v>1</v>
      </c>
    </row>
    <row r="52" ht="15.75" customHeight="1">
      <c r="A52" s="7" t="s">
        <v>27</v>
      </c>
      <c r="B52" s="7">
        <f>COUNTIF('(EXAMPLE) Module 2 - System'!$D:$D,"N/A") + COUNTIF('(EXAMPLE) Module 11 - GMP'!$C:$C,"N/A")</f>
        <v>1</v>
      </c>
      <c r="D52" s="7" t="s">
        <v>147</v>
      </c>
      <c r="E52" s="18">
        <f>IFERROR(COUNTIFS('(EXAMPLE) Module 2 - System'!$B:$B,"2.5 Verification, Validation &amp; Improvement",'(EXAMPLE) Module 2 - System'!$D:$D,"C") / (COUNTIFS('(EXAMPLE) Module 2 - System'!$B:$B,"2.5 Verification, Validation &amp; Improvement",'(EXAMPLE) Module 2 - System'!$D:$D,"&lt;&gt;",'(EXAMPLE) Module 2 - System'!$D:$D,"&lt;&gt;N/A")),0)</f>
        <v>1</v>
      </c>
      <c r="F52" s="7">
        <f>COUNTIFS('(EXAMPLE) Module 2 - System'!$B:$B,"2.5 Verification, Validation &amp; Improvement",'(EXAMPLE) Module 2 - System'!$D:$D,"MIN")+COUNTIFS('(EXAMPLE) Module 2 - System'!$B:$B,"2.5 Verification, Validation &amp; Improvement",'(EXAMPLE) Module 2 - System'!$D:$D,"MAJ")+COUNTIFS('(EXAMPLE) Module 2 - System'!$B:$B,"2.5 Verification, Validation &amp; Improvement",'(EXAMPLE) Module 2 - System'!$D:$D,"CRIT")</f>
        <v>0</v>
      </c>
      <c r="H52" s="7" t="s">
        <v>74</v>
      </c>
      <c r="I52" s="18">
        <f>IFERROR(COUNTIFS('(EXAMPLE) Module 11 - GMP'!$B:$B,"Pest control",'(EXAMPLE) Module 11 - GMP'!$C:$C,"C") / (COUNTIFS('(EXAMPLE) Module 11 - GMP'!$B:$B,"Pest control",'(EXAMPLE) Module 11 - GMP'!$C:$C,"&lt;&gt;",'(EXAMPLE) Module 11 - GMP'!$C:$C,"&lt;&gt;N/A")),0)</f>
        <v>0</v>
      </c>
      <c r="J52" s="7">
        <f>COUNTIFS('(EXAMPLE) Module 11 - GMP'!$B:$B,"Pest control",'(EXAMPLE) Module 11 - GMP'!$C:$C,"MIN")+COUNTIFS('(EXAMPLE) Module 11 - GMP'!$B:$B,"Pest control",'(EXAMPLE) Module 11 - GMP'!$C:$C,"MAJ")+COUNTIFS('(EXAMPLE) Module 11 - GMP'!$B:$B,"Pest control",'(EXAMPLE) Module 11 - GMP'!$C:$C,"CRIT")</f>
        <v>1</v>
      </c>
    </row>
    <row r="53" ht="15.75" customHeight="1">
      <c r="D53" s="7" t="s">
        <v>169</v>
      </c>
      <c r="E53" s="18">
        <f>IFERROR(COUNTIFS('(EXAMPLE) Module 2 - System'!$B:$B,"2.6 Traceability &amp; Recall",'(EXAMPLE) Module 2 - System'!$D:$D,"C") / (COUNTIFS('(EXAMPLE) Module 2 - System'!$B:$B,"2.6 Traceability &amp; Recall",'(EXAMPLE) Module 2 - System'!$D:$D,"&lt;&gt;",'(EXAMPLE) Module 2 - System'!$D:$D,"&lt;&gt;N/A")),0)</f>
        <v>0.25</v>
      </c>
      <c r="F53" s="7">
        <f>COUNTIFS('(EXAMPLE) Module 2 - System'!$B:$B,"2.6 Traceability &amp; Recall",'(EXAMPLE) Module 2 - System'!$D:$D,"MIN")+COUNTIFS('(EXAMPLE) Module 2 - System'!$B:$B,"2.6 Traceability &amp; Recall",'(EXAMPLE) Module 2 - System'!$D:$D,"MAJ")+COUNTIFS('(EXAMPLE) Module 2 - System'!$B:$B,"2.6 Traceability &amp; Recall",'(EXAMPLE) Module 2 - System'!$D:$D,"CRIT")</f>
        <v>3</v>
      </c>
      <c r="H53" s="7" t="s">
        <v>79</v>
      </c>
      <c r="I53" s="18">
        <f>IFERROR(COUNTIFS('(EXAMPLE) Module 11 - GMP'!$B:$B,"Equipment &amp; maintenance",'(EXAMPLE) Module 11 - GMP'!$C:$C,"C") / (COUNTIFS('(EXAMPLE) Module 11 - GMP'!$B:$B,"Equipment &amp; maintenance",'(EXAMPLE) Module 11 - GMP'!$C:$C,"&lt;&gt;",'(EXAMPLE) Module 11 - GMP'!$C:$C,"&lt;&gt;N/A")),0)</f>
        <v>1</v>
      </c>
      <c r="J53" s="7">
        <f>COUNTIFS('(EXAMPLE) Module 11 - GMP'!$B:$B,"Equipment &amp; maintenance",'(EXAMPLE) Module 11 - GMP'!$C:$C,"MIN")+COUNTIFS('(EXAMPLE) Module 11 - GMP'!$B:$B,"Equipment &amp; maintenance",'(EXAMPLE) Module 11 - GMP'!$C:$C,"MAJ")+COUNTIFS('(EXAMPLE) Module 11 - GMP'!$B:$B,"Equipment &amp; maintenance",'(EXAMPLE) Module 11 - GMP'!$C:$C,"CRIT")</f>
        <v>0</v>
      </c>
    </row>
    <row r="54" ht="15.75" customHeight="1">
      <c r="A54" s="7" t="s">
        <v>232</v>
      </c>
      <c r="B54" s="7">
        <f>COUNTIF('(EXAMPLE) Module 2 - System'!$D:$D,"&lt;&gt;") + COUNTIF('(EXAMPLE) Module 11 - GMP'!$C:$C,"&lt;&gt;")</f>
        <v>58</v>
      </c>
      <c r="D54" s="7" t="s">
        <v>184</v>
      </c>
      <c r="E54" s="18">
        <f>IFERROR(COUNTIFS('(EXAMPLE) Module 2 - System'!$B:$B,"2.7 Customer Complaints &amp; CAPA",'(EXAMPLE) Module 2 - System'!$D:$D,"C") / (COUNTIFS('(EXAMPLE) Module 2 - System'!$B:$B,"2.7 Customer Complaints &amp; CAPA",'(EXAMPLE) Module 2 - System'!$D:$D,"&lt;&gt;",'(EXAMPLE) Module 2 - System'!$D:$D,"&lt;&gt;N/A")),0)</f>
        <v>0.6666666667</v>
      </c>
      <c r="F54" s="7">
        <f>COUNTIFS('(EXAMPLE) Module 2 - System'!$B:$B,"2.7 Customer Complaints &amp; CAPA",'(EXAMPLE) Module 2 - System'!$D:$D,"MIN")+COUNTIFS('(EXAMPLE) Module 2 - System'!$B:$B,"2.7 Customer Complaints &amp; CAPA",'(EXAMPLE) Module 2 - System'!$D:$D,"MAJ")+COUNTIFS('(EXAMPLE) Module 2 - System'!$B:$B,"2.7 Customer Complaints &amp; CAPA",'(EXAMPLE) Module 2 - System'!$D:$D,"CRIT")</f>
        <v>1</v>
      </c>
      <c r="H54" s="7" t="s">
        <v>83</v>
      </c>
      <c r="I54" s="18">
        <f>IFERROR(COUNTIFS('(EXAMPLE) Module 11 - GMP'!$B:$B,"Calibration",'(EXAMPLE) Module 11 - GMP'!$C:$C,"C") / (COUNTIFS('(EXAMPLE) Module 11 - GMP'!$B:$B,"Calibration",'(EXAMPLE) Module 11 - GMP'!$C:$C,"&lt;&gt;",'(EXAMPLE) Module 11 - GMP'!$C:$C,"&lt;&gt;N/A")),0)</f>
        <v>0</v>
      </c>
      <c r="J54" s="7">
        <f>COUNTIFS('(EXAMPLE) Module 11 - GMP'!$B:$B,"Calibration",'(EXAMPLE) Module 11 - GMP'!$C:$C,"MIN")+COUNTIFS('(EXAMPLE) Module 11 - GMP'!$B:$B,"Calibration",'(EXAMPLE) Module 11 - GMP'!$C:$C,"MAJ")+COUNTIFS('(EXAMPLE) Module 11 - GMP'!$B:$B,"Calibration",'(EXAMPLE) Module 11 - GMP'!$C:$C,"CRIT")</f>
        <v>1</v>
      </c>
    </row>
    <row r="55" ht="15.75" customHeight="1">
      <c r="A55" s="7" t="s">
        <v>237</v>
      </c>
      <c r="B55" s="18">
        <f>IFERROR(B48/(B48+B49+B50+B51),0)</f>
        <v>0.5818181818</v>
      </c>
      <c r="D55" s="7" t="s">
        <v>207</v>
      </c>
      <c r="E55" s="18">
        <f>IFERROR(COUNTIFS('(EXAMPLE) Module 2 - System'!$B:$B,"2.8 Food Defense &amp; Food Fraud",'(EXAMPLE) Module 2 - System'!$D:$D,"C") / (COUNTIFS('(EXAMPLE) Module 2 - System'!$B:$B,"2.8 Food Defense &amp; Food Fraud",'(EXAMPLE) Module 2 - System'!$D:$D,"&lt;&gt;",'(EXAMPLE) Module 2 - System'!$D:$D,"&lt;&gt;N/A")),0)</f>
        <v>0.75</v>
      </c>
      <c r="F55" s="7">
        <f>COUNTIFS('(EXAMPLE) Module 2 - System'!$B:$B,"2.8 Food Defense &amp; Food Fraud",'(EXAMPLE) Module 2 - System'!$D:$D,"MIN")+COUNTIFS('(EXAMPLE) Module 2 - System'!$B:$B,"2.8 Food Defense &amp; Food Fraud",'(EXAMPLE) Module 2 - System'!$D:$D,"MAJ")+COUNTIFS('(EXAMPLE) Module 2 - System'!$B:$B,"2.8 Food Defense &amp; Food Fraud",'(EXAMPLE) Module 2 - System'!$D:$D,"CRIT")</f>
        <v>1</v>
      </c>
      <c r="H55" s="7" t="s">
        <v>87</v>
      </c>
      <c r="I55" s="18">
        <f>IFERROR(COUNTIFS('(EXAMPLE) Module 11 - GMP'!$B:$B,"Glass &amp; brittle plastics",'(EXAMPLE) Module 11 - GMP'!$C:$C,"C") / (COUNTIFS('(EXAMPLE) Module 11 - GMP'!$B:$B,"Glass &amp; brittle plastics",'(EXAMPLE) Module 11 - GMP'!$C:$C,"&lt;&gt;",'(EXAMPLE) Module 11 - GMP'!$C:$C,"&lt;&gt;N/A")),0)</f>
        <v>0</v>
      </c>
      <c r="J55" s="7">
        <f>COUNTIFS('(EXAMPLE) Module 11 - GMP'!$B:$B,"Glass &amp; brittle plastics",'(EXAMPLE) Module 11 - GMP'!$C:$C,"MIN")+COUNTIFS('(EXAMPLE) Module 11 - GMP'!$B:$B,"Glass &amp; brittle plastics",'(EXAMPLE) Module 11 - GMP'!$C:$C,"MAJ")+COUNTIFS('(EXAMPLE) Module 11 - GMP'!$B:$B,"Glass &amp; brittle plastics",'(EXAMPLE) Module 11 - GMP'!$C:$C,"CRIT")</f>
        <v>1</v>
      </c>
    </row>
    <row r="56" ht="15.75" customHeight="1">
      <c r="D56" s="7" t="s">
        <v>221</v>
      </c>
      <c r="E56" s="18">
        <f>IFERROR(COUNTIFS('(EXAMPLE) Module 2 - System'!$B:$B,"2.9 Training",'(EXAMPLE) Module 2 - System'!$D:$D,"C") / (COUNTIFS('(EXAMPLE) Module 2 - System'!$B:$B,"2.9 Training",'(EXAMPLE) Module 2 - System'!$D:$D,"&lt;&gt;",'(EXAMPLE) Module 2 - System'!$D:$D,"&lt;&gt;N/A")),0)</f>
        <v>0.6666666667</v>
      </c>
      <c r="F56" s="7">
        <f>COUNTIFS('(EXAMPLE) Module 2 - System'!$B:$B,"2.9 Training",'(EXAMPLE) Module 2 - System'!$D:$D,"MIN")+COUNTIFS('(EXAMPLE) Module 2 - System'!$B:$B,"2.9 Training",'(EXAMPLE) Module 2 - System'!$D:$D,"MAJ")+COUNTIFS('(EXAMPLE) Module 2 - System'!$B:$B,"2.9 Training",'(EXAMPLE) Module 2 - System'!$D:$D,"CRIT")</f>
        <v>1</v>
      </c>
      <c r="H56" s="7" t="s">
        <v>94</v>
      </c>
      <c r="I56" s="18">
        <f>IFERROR(COUNTIFS('(EXAMPLE) Module 11 - GMP'!$B:$B,"Foreign material control",'(EXAMPLE) Module 11 - GMP'!$C:$C,"C") / (COUNTIFS('(EXAMPLE) Module 11 - GMP'!$B:$B,"Foreign material control",'(EXAMPLE) Module 11 - GMP'!$C:$C,"&lt;&gt;",'(EXAMPLE) Module 11 - GMP'!$C:$C,"&lt;&gt;N/A")),0)</f>
        <v>0</v>
      </c>
      <c r="J56" s="7">
        <f>COUNTIFS('(EXAMPLE) Module 11 - GMP'!$B:$B,"Foreign material control",'(EXAMPLE) Module 11 - GMP'!$C:$C,"MIN")+COUNTIFS('(EXAMPLE) Module 11 - GMP'!$B:$B,"Foreign material control",'(EXAMPLE) Module 11 - GMP'!$C:$C,"MAJ")+COUNTIFS('(EXAMPLE) Module 11 - GMP'!$B:$B,"Foreign material control",'(EXAMPLE) Module 11 - GMP'!$C:$C,"CRIT")</f>
        <v>1</v>
      </c>
    </row>
    <row r="57" ht="15.75" customHeight="1">
      <c r="A57" s="7" t="s">
        <v>254</v>
      </c>
      <c r="B57" s="7">
        <f>B49+B50+B51</f>
        <v>23</v>
      </c>
      <c r="H57" s="7" t="s">
        <v>98</v>
      </c>
      <c r="I57" s="18">
        <f>IFERROR(COUNTIFS('(EXAMPLE) Module 11 - GMP'!$B:$B,"Allergen management",'(EXAMPLE) Module 11 - GMP'!$C:$C,"C") / (COUNTIFS('(EXAMPLE) Module 11 - GMP'!$B:$B,"Allergen management",'(EXAMPLE) Module 11 - GMP'!$C:$C,"&lt;&gt;",'(EXAMPLE) Module 11 - GMP'!$C:$C,"&lt;&gt;N/A")),0)</f>
        <v>0</v>
      </c>
      <c r="J57" s="7">
        <f>COUNTIFS('(EXAMPLE) Module 11 - GMP'!$B:$B,"Allergen management",'(EXAMPLE) Module 11 - GMP'!$C:$C,"MIN")+COUNTIFS('(EXAMPLE) Module 11 - GMP'!$B:$B,"Allergen management",'(EXAMPLE) Module 11 - GMP'!$C:$C,"MAJ")+COUNTIFS('(EXAMPLE) Module 11 - GMP'!$B:$B,"Allergen management",'(EXAMPLE) Module 11 - GMP'!$C:$C,"CRIT")</f>
        <v>1</v>
      </c>
    </row>
    <row r="58" ht="15.75" customHeight="1">
      <c r="H58" s="7" t="s">
        <v>102</v>
      </c>
      <c r="I58" s="18">
        <f>IFERROR(COUNTIFS('(EXAMPLE) Module 11 - GMP'!$B:$B,"Chemical control",'(EXAMPLE) Module 11 - GMP'!$C:$C,"C") / (COUNTIFS('(EXAMPLE) Module 11 - GMP'!$B:$B,"Chemical control",'(EXAMPLE) Module 11 - GMP'!$C:$C,"&lt;&gt;",'(EXAMPLE) Module 11 - GMP'!$C:$C,"&lt;&gt;N/A")),0)</f>
        <v>0</v>
      </c>
      <c r="J58" s="7">
        <f>COUNTIFS('(EXAMPLE) Module 11 - GMP'!$B:$B,"Chemical control",'(EXAMPLE) Module 11 - GMP'!$C:$C,"MIN")+COUNTIFS('(EXAMPLE) Module 11 - GMP'!$B:$B,"Chemical control",'(EXAMPLE) Module 11 - GMP'!$C:$C,"MAJ")+COUNTIFS('(EXAMPLE) Module 11 - GMP'!$B:$B,"Chemical control",'(EXAMPLE) Module 11 - GMP'!$C:$C,"CRIT")</f>
        <v>1</v>
      </c>
    </row>
    <row r="59" ht="15.75" customHeight="1">
      <c r="H59" s="7" t="s">
        <v>108</v>
      </c>
      <c r="I59" s="18">
        <f>IFERROR(COUNTIFS('(EXAMPLE) Module 11 - GMP'!$B:$B,"Waste management",'(EXAMPLE) Module 11 - GMP'!$C:$C,"C") / (COUNTIFS('(EXAMPLE) Module 11 - GMP'!$B:$B,"Waste management",'(EXAMPLE) Module 11 - GMP'!$C:$C,"&lt;&gt;",'(EXAMPLE) Module 11 - GMP'!$C:$C,"&lt;&gt;N/A")),0)</f>
        <v>0</v>
      </c>
      <c r="J59" s="7">
        <f>COUNTIFS('(EXAMPLE) Module 11 - GMP'!$B:$B,"Waste management",'(EXAMPLE) Module 11 - GMP'!$C:$C,"MIN")+COUNTIFS('(EXAMPLE) Module 11 - GMP'!$B:$B,"Waste management",'(EXAMPLE) Module 11 - GMP'!$C:$C,"MAJ")+COUNTIFS('(EXAMPLE) Module 11 - GMP'!$B:$B,"Waste management",'(EXAMPLE) Module 11 - GMP'!$C:$C,"CRIT")</f>
        <v>1</v>
      </c>
    </row>
    <row r="60" ht="15.75" customHeight="1">
      <c r="H60" s="7" t="s">
        <v>115</v>
      </c>
      <c r="I60" s="18">
        <f>IFERROR(COUNTIFS('(EXAMPLE) Module 11 - GMP'!$B:$B,"Rework",'(EXAMPLE) Module 11 - GMP'!$C:$C,"C") / (COUNTIFS('(EXAMPLE) Module 11 - GMP'!$B:$B,"Rework",'(EXAMPLE) Module 11 - GMP'!$C:$C,"&lt;&gt;",'(EXAMPLE) Module 11 - GMP'!$C:$C,"&lt;&gt;N/A")),0)</f>
        <v>1</v>
      </c>
      <c r="J60" s="7">
        <f>COUNTIFS('(EXAMPLE) Module 11 - GMP'!$B:$B,"Rework",'(EXAMPLE) Module 11 - GMP'!$C:$C,"MIN")+COUNTIFS('(EXAMPLE) Module 11 - GMP'!$B:$B,"Rework",'(EXAMPLE) Module 11 - GMP'!$C:$C,"MAJ")+COUNTIFS('(EXAMPLE) Module 11 - GMP'!$B:$B,"Rework",'(EXAMPLE) Module 11 - GMP'!$C:$C,"CRIT")</f>
        <v>0</v>
      </c>
    </row>
    <row r="61" ht="15.75" customHeight="1">
      <c r="H61" s="7" t="s">
        <v>120</v>
      </c>
      <c r="I61" s="18">
        <f>IFERROR(COUNTIFS('(EXAMPLE) Module 11 - GMP'!$B:$B,"Storage &amp; transport",'(EXAMPLE) Module 11 - GMP'!$C:$C,"C") / (COUNTIFS('(EXAMPLE) Module 11 - GMP'!$B:$B,"Storage &amp; transport",'(EXAMPLE) Module 11 - GMP'!$C:$C,"&lt;&gt;",'(EXAMPLE) Module 11 - GMP'!$C:$C,"&lt;&gt;N/A")),0)</f>
        <v>1</v>
      </c>
      <c r="J61" s="7">
        <f>COUNTIFS('(EXAMPLE) Module 11 - GMP'!$B:$B,"Storage &amp; transport",'(EXAMPLE) Module 11 - GMP'!$C:$C,"MIN")+COUNTIFS('(EXAMPLE) Module 11 - GMP'!$B:$B,"Storage &amp; transport",'(EXAMPLE) Module 11 - GMP'!$C:$C,"MAJ")+COUNTIFS('(EXAMPLE) Module 11 - GMP'!$B:$B,"Storage &amp; transport",'(EXAMPLE) Module 11 - GMP'!$C:$C,"CRIT")</f>
        <v>0</v>
      </c>
    </row>
    <row r="62" ht="15.75" customHeight="1">
      <c r="H62" s="7" t="s">
        <v>123</v>
      </c>
      <c r="I62" s="18">
        <f>IFERROR(COUNTIFS('(EXAMPLE) Module 11 - GMP'!$B:$B,"Product release",'(EXAMPLE) Module 11 - GMP'!$C:$C,"C") / (COUNTIFS('(EXAMPLE) Module 11 - GMP'!$B:$B,"Product release",'(EXAMPLE) Module 11 - GMP'!$C:$C,"&lt;&gt;",'(EXAMPLE) Module 11 - GMP'!$C:$C,"&lt;&gt;N/A")),0)</f>
        <v>1</v>
      </c>
      <c r="J62" s="7">
        <f>COUNTIFS('(EXAMPLE) Module 11 - GMP'!$B:$B,"Product release",'(EXAMPLE) Module 11 - GMP'!$C:$C,"MIN")+COUNTIFS('(EXAMPLE) Module 11 - GMP'!$B:$B,"Product release",'(EXAMPLE) Module 11 - GMP'!$C:$C,"MAJ")+COUNTIFS('(EXAMPLE) Module 11 - GMP'!$B:$B,"Product release",'(EXAMPLE) Module 11 - GMP'!$C:$C,"CRIT")</f>
        <v>0</v>
      </c>
    </row>
    <row r="63" ht="15.75" customHeight="1">
      <c r="H63" s="7" t="s">
        <v>128</v>
      </c>
      <c r="I63" s="18">
        <f>IFERROR(COUNTIFS('(EXAMPLE) Module 11 - GMP'!$B:$B,"Labeling &amp; verification",'(EXAMPLE) Module 11 - GMP'!$C:$C,"C") / (COUNTIFS('(EXAMPLE) Module 11 - GMP'!$B:$B,"Labeling &amp; verification",'(EXAMPLE) Module 11 - GMP'!$C:$C,"&lt;&gt;",'(EXAMPLE) Module 11 - GMP'!$C:$C,"&lt;&gt;N/A")),0)</f>
        <v>1</v>
      </c>
      <c r="J63" s="7">
        <f>COUNTIFS('(EXAMPLE) Module 11 - GMP'!$B:$B,"Labeling &amp; verification",'(EXAMPLE) Module 11 - GMP'!$C:$C,"MIN")+COUNTIFS('(EXAMPLE) Module 11 - GMP'!$B:$B,"Labeling &amp; verification",'(EXAMPLE) Module 11 - GMP'!$C:$C,"MAJ")+COUNTIFS('(EXAMPLE) Module 11 - GMP'!$B:$B,"Labeling &amp; verification",'(EXAMPLE) Module 11 - GMP'!$C:$C,"CRIT")</f>
        <v>0</v>
      </c>
    </row>
    <row r="64" ht="15.75" customHeight="1">
      <c r="H64" s="7" t="s">
        <v>136</v>
      </c>
      <c r="I64" s="18">
        <f>IFERROR(COUNTIFS('(EXAMPLE) Module 11 - GMP'!$B:$B,"Environmental monitoring",'(EXAMPLE) Module 11 - GMP'!$C:$C,"C") / (COUNTIFS('(EXAMPLE) Module 11 - GMP'!$B:$B,"Environmental monitoring",'(EXAMPLE) Module 11 - GMP'!$C:$C,"&lt;&gt;",'(EXAMPLE) Module 11 - GMP'!$C:$C,"&lt;&gt;N/A")),0)</f>
        <v>0</v>
      </c>
      <c r="J64" s="7">
        <f>COUNTIFS('(EXAMPLE) Module 11 - GMP'!$B:$B,"Environmental monitoring",'(EXAMPLE) Module 11 - GMP'!$C:$C,"MIN")+COUNTIFS('(EXAMPLE) Module 11 - GMP'!$B:$B,"Environmental monitoring",'(EXAMPLE) Module 11 - GMP'!$C:$C,"MAJ")+COUNTIFS('(EXAMPLE) Module 11 - GMP'!$B:$B,"Environmental monitoring",'(EXAMPLE) Module 11 - GMP'!$C:$C,"CRIT")</f>
        <v>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J3"/>
  </mergeCells>
  <dataValidations>
    <dataValidation type="custom" allowBlank="1" showDropDown="1" sqref="E47:E56 I47:I64">
      <formula1>AND(ISNUMBER(E47),(NOT(OR(NOT(ISERROR(DATEVALUE(E47))), AND(ISNUMBER(E47), LEFT(CELL("format", E47))="D")))))</formula1>
    </dataValidation>
  </dataValidations>
  <hyperlinks>
    <hyperlink r:id="rId1" location="watch-demo" ref="L30"/>
    <hyperlink r:id="rId2" ref="L31"/>
  </hyperlinks>
  <printOptions/>
  <pageMargins bottom="1.0" footer="0.0" header="0.0" left="0.75" right="0.75" top="1.0"/>
  <pageSetup orientation="landscape"/>
  <drawing r:id="rId3"/>
  <tableParts count="3"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171.57"/>
  </cols>
  <sheetData>
    <row r="1">
      <c r="A1" s="19" t="s">
        <v>227</v>
      </c>
      <c r="B1" s="20"/>
      <c r="C1" s="21"/>
    </row>
    <row r="2">
      <c r="A2" s="19" t="s">
        <v>228</v>
      </c>
      <c r="B2" s="22" t="s">
        <v>176</v>
      </c>
      <c r="C2" s="19" t="s">
        <v>229</v>
      </c>
    </row>
    <row r="3">
      <c r="B3" s="23"/>
    </row>
    <row r="4">
      <c r="B4" s="23"/>
    </row>
    <row r="5">
      <c r="B5" s="23"/>
    </row>
    <row r="6">
      <c r="B6" s="23"/>
    </row>
    <row r="7">
      <c r="B7" s="23"/>
    </row>
    <row r="8">
      <c r="B8" s="23"/>
    </row>
    <row r="9">
      <c r="B9" s="23"/>
    </row>
    <row r="10">
      <c r="B10" s="23"/>
    </row>
    <row r="11">
      <c r="B11" s="23"/>
    </row>
    <row r="12">
      <c r="B12" s="23"/>
    </row>
    <row r="13">
      <c r="B13" s="23"/>
    </row>
    <row r="14">
      <c r="B14" s="23"/>
    </row>
    <row r="15">
      <c r="B15" s="23"/>
    </row>
    <row r="16">
      <c r="B16" s="23"/>
    </row>
    <row r="17">
      <c r="B17" s="23"/>
    </row>
    <row r="18">
      <c r="B18" s="23"/>
    </row>
    <row r="19">
      <c r="B19" s="23"/>
    </row>
    <row r="20">
      <c r="B20" s="23"/>
    </row>
    <row r="21">
      <c r="B21" s="23"/>
    </row>
    <row r="22">
      <c r="B22" s="23"/>
    </row>
    <row r="23">
      <c r="B23" s="23"/>
    </row>
    <row r="24">
      <c r="B24" s="23"/>
    </row>
    <row r="25">
      <c r="B25" s="23"/>
    </row>
    <row r="26">
      <c r="B26" s="23"/>
    </row>
    <row r="27">
      <c r="B27" s="23"/>
    </row>
    <row r="28">
      <c r="B28" s="23"/>
    </row>
    <row r="29">
      <c r="B29" s="23"/>
    </row>
    <row r="30">
      <c r="B30" s="23"/>
    </row>
    <row r="31">
      <c r="B31" s="23"/>
    </row>
    <row r="32">
      <c r="B32" s="23"/>
    </row>
    <row r="33">
      <c r="B33" s="23"/>
    </row>
    <row r="34">
      <c r="B34" s="23"/>
    </row>
    <row r="35">
      <c r="B35" s="23"/>
    </row>
    <row r="36">
      <c r="B36" s="23"/>
    </row>
    <row r="37">
      <c r="B37" s="23"/>
    </row>
    <row r="38">
      <c r="B38" s="23"/>
    </row>
    <row r="39">
      <c r="B39" s="23"/>
    </row>
    <row r="40">
      <c r="B40" s="23"/>
    </row>
    <row r="41">
      <c r="B41" s="23"/>
    </row>
    <row r="42">
      <c r="B42" s="23"/>
    </row>
    <row r="43">
      <c r="B43" s="23"/>
    </row>
    <row r="44">
      <c r="B44" s="23"/>
    </row>
    <row r="45">
      <c r="B45" s="23"/>
    </row>
    <row r="46">
      <c r="B46" s="23"/>
    </row>
    <row r="47">
      <c r="B47" s="23"/>
    </row>
    <row r="48">
      <c r="B48" s="23"/>
    </row>
    <row r="49">
      <c r="B49" s="23"/>
    </row>
    <row r="50">
      <c r="B50" s="23"/>
    </row>
    <row r="51">
      <c r="B51" s="23"/>
    </row>
    <row r="52">
      <c r="B52" s="23"/>
    </row>
    <row r="53">
      <c r="B53" s="23"/>
    </row>
    <row r="54">
      <c r="B54" s="23"/>
    </row>
    <row r="55">
      <c r="B55" s="23"/>
    </row>
    <row r="56">
      <c r="B56" s="23"/>
    </row>
    <row r="57">
      <c r="B57" s="23"/>
    </row>
    <row r="58">
      <c r="B58" s="23"/>
    </row>
    <row r="59">
      <c r="B59" s="23"/>
    </row>
    <row r="60">
      <c r="B60" s="23"/>
    </row>
    <row r="61">
      <c r="B61" s="23"/>
    </row>
    <row r="62">
      <c r="B62" s="23"/>
    </row>
    <row r="63">
      <c r="B63" s="23"/>
    </row>
    <row r="64">
      <c r="B64" s="23"/>
    </row>
    <row r="65">
      <c r="B65" s="23"/>
    </row>
    <row r="66">
      <c r="B66" s="23"/>
    </row>
    <row r="67">
      <c r="B67" s="23"/>
    </row>
    <row r="68">
      <c r="B68" s="23"/>
    </row>
    <row r="69">
      <c r="B69" s="23"/>
    </row>
    <row r="70">
      <c r="B70" s="23"/>
    </row>
    <row r="71">
      <c r="B71" s="23"/>
    </row>
    <row r="72">
      <c r="B72" s="23"/>
    </row>
    <row r="73">
      <c r="B73" s="23"/>
    </row>
    <row r="74">
      <c r="B74" s="23"/>
    </row>
    <row r="75">
      <c r="B75" s="23"/>
    </row>
    <row r="76">
      <c r="B76" s="23"/>
    </row>
    <row r="77">
      <c r="B77" s="23"/>
    </row>
    <row r="78">
      <c r="B78" s="23"/>
    </row>
    <row r="79">
      <c r="B79" s="23"/>
    </row>
    <row r="80">
      <c r="B80" s="23"/>
    </row>
    <row r="81">
      <c r="B81" s="23"/>
    </row>
    <row r="82">
      <c r="B82" s="23"/>
    </row>
    <row r="83">
      <c r="B83" s="23"/>
    </row>
    <row r="84">
      <c r="B84" s="23"/>
    </row>
    <row r="85">
      <c r="B85" s="23"/>
    </row>
    <row r="86">
      <c r="B86" s="23"/>
    </row>
    <row r="87">
      <c r="B87" s="23"/>
    </row>
    <row r="88">
      <c r="B88" s="23"/>
    </row>
    <row r="89">
      <c r="B89" s="23"/>
    </row>
    <row r="90">
      <c r="B90" s="23"/>
    </row>
    <row r="91">
      <c r="B91" s="23"/>
    </row>
    <row r="92">
      <c r="B92" s="23"/>
    </row>
    <row r="93">
      <c r="B93" s="23"/>
    </row>
    <row r="94">
      <c r="B94" s="23"/>
    </row>
    <row r="95">
      <c r="B95" s="23"/>
    </row>
    <row r="96">
      <c r="B96" s="23"/>
    </row>
    <row r="97">
      <c r="B97" s="23"/>
    </row>
    <row r="98">
      <c r="B98" s="23"/>
    </row>
    <row r="99">
      <c r="B99" s="23"/>
    </row>
    <row r="100">
      <c r="B100" s="2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8.71"/>
    <col customWidth="1" min="3" max="3" width="11.14"/>
    <col customWidth="1" min="4" max="4" width="34.57"/>
    <col customWidth="1" min="5" max="26" width="8.71"/>
  </cols>
  <sheetData>
    <row r="3" ht="22.5" customHeight="1">
      <c r="C3" s="6" t="s">
        <v>5</v>
      </c>
      <c r="D3" s="6" t="s">
        <v>8</v>
      </c>
    </row>
    <row r="4" ht="22.5" customHeight="1">
      <c r="C4" s="7" t="s">
        <v>9</v>
      </c>
      <c r="D4" s="7" t="s">
        <v>12</v>
      </c>
    </row>
    <row r="5" ht="22.5" customHeight="1">
      <c r="C5" s="7" t="s">
        <v>14</v>
      </c>
      <c r="D5" s="7" t="s">
        <v>16</v>
      </c>
    </row>
    <row r="6" ht="22.5" customHeight="1">
      <c r="C6" s="7" t="s">
        <v>19</v>
      </c>
      <c r="D6" s="7" t="s">
        <v>21</v>
      </c>
    </row>
    <row r="7" ht="22.5" customHeight="1">
      <c r="C7" s="7" t="s">
        <v>23</v>
      </c>
      <c r="D7" s="7" t="s">
        <v>25</v>
      </c>
    </row>
    <row r="8" ht="22.5" customHeight="1">
      <c r="C8" s="7" t="s">
        <v>27</v>
      </c>
      <c r="D8" s="7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42.0"/>
    <col customWidth="1" min="3" max="3" width="55.0"/>
    <col customWidth="1" min="4" max="4" width="16.0"/>
    <col customWidth="1" min="5" max="5" width="23.29"/>
    <col customWidth="1" min="6" max="6" width="43.0"/>
    <col customWidth="1" min="7" max="7" width="18.0"/>
    <col customWidth="1" min="8" max="26" width="8.71"/>
  </cols>
  <sheetData>
    <row r="1" ht="22.5" customHeight="1">
      <c r="A1" s="6" t="s">
        <v>48</v>
      </c>
      <c r="B1" s="6" t="s">
        <v>50</v>
      </c>
      <c r="C1" s="6" t="s">
        <v>53</v>
      </c>
      <c r="D1" s="6" t="s">
        <v>51</v>
      </c>
      <c r="E1" s="6" t="s">
        <v>52</v>
      </c>
      <c r="F1" s="6" t="s">
        <v>54</v>
      </c>
      <c r="G1" s="6" t="s">
        <v>55</v>
      </c>
    </row>
    <row r="2" ht="22.5" customHeight="1">
      <c r="A2" s="7" t="s">
        <v>58</v>
      </c>
      <c r="B2" s="7" t="s">
        <v>59</v>
      </c>
      <c r="C2" s="7" t="s">
        <v>60</v>
      </c>
      <c r="D2" s="11" t="s">
        <v>9</v>
      </c>
      <c r="E2" s="11" t="s">
        <v>230</v>
      </c>
      <c r="F2" s="7" t="s">
        <v>231</v>
      </c>
    </row>
    <row r="3" ht="22.5" customHeight="1">
      <c r="A3" s="7" t="s">
        <v>63</v>
      </c>
      <c r="B3" s="7" t="s">
        <v>59</v>
      </c>
      <c r="C3" s="7" t="s">
        <v>64</v>
      </c>
      <c r="D3" s="11" t="s">
        <v>9</v>
      </c>
      <c r="E3" s="11" t="s">
        <v>233</v>
      </c>
      <c r="F3" s="7" t="s">
        <v>234</v>
      </c>
    </row>
    <row r="4" ht="22.5" customHeight="1">
      <c r="A4" s="7" t="s">
        <v>67</v>
      </c>
      <c r="B4" s="7" t="s">
        <v>59</v>
      </c>
      <c r="C4" s="7" t="s">
        <v>68</v>
      </c>
      <c r="D4" s="11" t="s">
        <v>9</v>
      </c>
      <c r="E4" s="11" t="s">
        <v>230</v>
      </c>
      <c r="F4" s="7" t="s">
        <v>231</v>
      </c>
    </row>
    <row r="5" ht="22.5" customHeight="1">
      <c r="A5" s="7" t="s">
        <v>71</v>
      </c>
      <c r="B5" s="7" t="s">
        <v>59</v>
      </c>
      <c r="C5" s="7" t="s">
        <v>72</v>
      </c>
      <c r="D5" s="11" t="s">
        <v>19</v>
      </c>
      <c r="E5" s="11" t="s">
        <v>230</v>
      </c>
      <c r="F5" s="7" t="s">
        <v>235</v>
      </c>
      <c r="G5" s="7" t="s">
        <v>236</v>
      </c>
    </row>
    <row r="6" ht="22.5" customHeight="1">
      <c r="A6" s="7" t="s">
        <v>75</v>
      </c>
      <c r="B6" s="7" t="s">
        <v>76</v>
      </c>
      <c r="C6" s="7" t="s">
        <v>77</v>
      </c>
      <c r="D6" s="11" t="s">
        <v>9</v>
      </c>
      <c r="E6" s="11" t="s">
        <v>230</v>
      </c>
      <c r="F6" s="7" t="s">
        <v>234</v>
      </c>
    </row>
    <row r="7" ht="22.5" customHeight="1">
      <c r="A7" s="7" t="s">
        <v>80</v>
      </c>
      <c r="B7" s="7" t="s">
        <v>76</v>
      </c>
      <c r="C7" s="7" t="s">
        <v>81</v>
      </c>
      <c r="D7" s="11" t="s">
        <v>9</v>
      </c>
      <c r="E7" s="11" t="s">
        <v>233</v>
      </c>
      <c r="F7" s="7" t="s">
        <v>231</v>
      </c>
    </row>
    <row r="8" ht="22.5" customHeight="1">
      <c r="A8" s="7" t="s">
        <v>84</v>
      </c>
      <c r="B8" s="7" t="s">
        <v>76</v>
      </c>
      <c r="C8" s="7" t="s">
        <v>85</v>
      </c>
      <c r="D8" s="11" t="s">
        <v>9</v>
      </c>
      <c r="E8" s="11" t="s">
        <v>233</v>
      </c>
      <c r="F8" s="7" t="s">
        <v>231</v>
      </c>
    </row>
    <row r="9" ht="22.5" customHeight="1">
      <c r="A9" s="7" t="s">
        <v>88</v>
      </c>
      <c r="B9" s="7" t="s">
        <v>76</v>
      </c>
      <c r="C9" s="7" t="s">
        <v>89</v>
      </c>
      <c r="D9" s="11" t="s">
        <v>19</v>
      </c>
      <c r="E9" s="11" t="s">
        <v>241</v>
      </c>
      <c r="F9" s="7" t="s">
        <v>242</v>
      </c>
      <c r="G9" s="7" t="s">
        <v>236</v>
      </c>
    </row>
    <row r="10" ht="22.5" customHeight="1">
      <c r="A10" s="7" t="s">
        <v>90</v>
      </c>
      <c r="B10" s="7" t="s">
        <v>91</v>
      </c>
      <c r="C10" s="7" t="s">
        <v>92</v>
      </c>
      <c r="D10" s="11" t="s">
        <v>27</v>
      </c>
      <c r="E10" s="11" t="s">
        <v>238</v>
      </c>
      <c r="F10" s="7" t="s">
        <v>243</v>
      </c>
      <c r="G10" s="7" t="s">
        <v>244</v>
      </c>
    </row>
    <row r="11" ht="22.5" customHeight="1">
      <c r="A11" s="7" t="s">
        <v>95</v>
      </c>
      <c r="B11" s="7" t="s">
        <v>91</v>
      </c>
      <c r="C11" s="7" t="s">
        <v>96</v>
      </c>
      <c r="D11" s="11" t="s">
        <v>14</v>
      </c>
      <c r="E11" s="11" t="s">
        <v>238</v>
      </c>
      <c r="F11" s="7" t="s">
        <v>247</v>
      </c>
      <c r="G11" s="7" t="s">
        <v>244</v>
      </c>
    </row>
    <row r="12" ht="22.5" customHeight="1">
      <c r="A12" s="7" t="s">
        <v>99</v>
      </c>
      <c r="B12" s="7" t="s">
        <v>91</v>
      </c>
      <c r="C12" s="7" t="s">
        <v>100</v>
      </c>
      <c r="D12" s="11" t="s">
        <v>9</v>
      </c>
      <c r="E12" s="11" t="s">
        <v>238</v>
      </c>
      <c r="F12" s="7" t="s">
        <v>234</v>
      </c>
    </row>
    <row r="13" ht="22.5" customHeight="1">
      <c r="A13" s="7" t="s">
        <v>104</v>
      </c>
      <c r="B13" s="7" t="s">
        <v>91</v>
      </c>
      <c r="C13" s="7" t="s">
        <v>106</v>
      </c>
      <c r="D13" s="11" t="s">
        <v>14</v>
      </c>
      <c r="E13" s="11" t="s">
        <v>230</v>
      </c>
      <c r="F13" s="7" t="s">
        <v>252</v>
      </c>
      <c r="G13" s="7" t="s">
        <v>244</v>
      </c>
    </row>
    <row r="14" ht="22.5" customHeight="1">
      <c r="A14" s="7" t="s">
        <v>111</v>
      </c>
      <c r="B14" s="7" t="s">
        <v>112</v>
      </c>
      <c r="C14" s="7" t="s">
        <v>113</v>
      </c>
      <c r="D14" s="11" t="s">
        <v>9</v>
      </c>
      <c r="E14" s="11" t="s">
        <v>238</v>
      </c>
      <c r="F14" s="7" t="s">
        <v>231</v>
      </c>
    </row>
    <row r="15" ht="22.5" customHeight="1">
      <c r="A15" s="7" t="s">
        <v>117</v>
      </c>
      <c r="B15" s="7" t="s">
        <v>112</v>
      </c>
      <c r="C15" s="7" t="s">
        <v>119</v>
      </c>
      <c r="D15" s="11" t="s">
        <v>9</v>
      </c>
      <c r="E15" s="11" t="s">
        <v>230</v>
      </c>
      <c r="F15" s="7" t="s">
        <v>231</v>
      </c>
    </row>
    <row r="16" ht="22.5" customHeight="1">
      <c r="A16" s="7" t="s">
        <v>121</v>
      </c>
      <c r="B16" s="7" t="s">
        <v>112</v>
      </c>
      <c r="C16" s="7" t="s">
        <v>124</v>
      </c>
      <c r="D16" s="11" t="s">
        <v>14</v>
      </c>
      <c r="E16" s="11" t="s">
        <v>230</v>
      </c>
      <c r="F16" s="7" t="s">
        <v>247</v>
      </c>
      <c r="G16" s="7" t="s">
        <v>255</v>
      </c>
    </row>
    <row r="17" ht="22.5" customHeight="1">
      <c r="A17" s="7" t="s">
        <v>127</v>
      </c>
      <c r="B17" s="7" t="s">
        <v>112</v>
      </c>
      <c r="C17" s="7" t="s">
        <v>129</v>
      </c>
      <c r="D17" s="11" t="s">
        <v>19</v>
      </c>
      <c r="E17" s="11" t="s">
        <v>238</v>
      </c>
      <c r="F17" s="7" t="s">
        <v>235</v>
      </c>
      <c r="G17" s="7" t="s">
        <v>240</v>
      </c>
      <c r="J17" s="13" t="s">
        <v>256</v>
      </c>
    </row>
    <row r="18" ht="22.5" customHeight="1">
      <c r="A18" s="7" t="s">
        <v>131</v>
      </c>
      <c r="B18" s="7" t="s">
        <v>112</v>
      </c>
      <c r="C18" s="7" t="s">
        <v>132</v>
      </c>
      <c r="D18" s="11" t="s">
        <v>9</v>
      </c>
      <c r="E18" s="11" t="s">
        <v>233</v>
      </c>
      <c r="F18" s="7" t="s">
        <v>231</v>
      </c>
      <c r="J18" s="13" t="s">
        <v>257</v>
      </c>
    </row>
    <row r="19" ht="22.5" customHeight="1">
      <c r="A19" s="7" t="s">
        <v>133</v>
      </c>
      <c r="B19" s="7" t="s">
        <v>112</v>
      </c>
      <c r="C19" s="7" t="s">
        <v>135</v>
      </c>
      <c r="D19" s="11" t="s">
        <v>9</v>
      </c>
      <c r="E19" s="11" t="s">
        <v>230</v>
      </c>
      <c r="F19" s="7" t="s">
        <v>231</v>
      </c>
    </row>
    <row r="20" ht="22.5" customHeight="1">
      <c r="A20" s="7" t="s">
        <v>139</v>
      </c>
      <c r="B20" s="7" t="s">
        <v>112</v>
      </c>
      <c r="C20" s="7" t="s">
        <v>140</v>
      </c>
      <c r="D20" s="11" t="s">
        <v>9</v>
      </c>
      <c r="E20" s="11" t="s">
        <v>238</v>
      </c>
      <c r="F20" s="7" t="s">
        <v>234</v>
      </c>
    </row>
    <row r="21" ht="15.75" customHeight="1">
      <c r="A21" s="7" t="s">
        <v>143</v>
      </c>
      <c r="B21" s="7" t="s">
        <v>112</v>
      </c>
      <c r="C21" s="7" t="s">
        <v>145</v>
      </c>
      <c r="D21" s="11" t="s">
        <v>9</v>
      </c>
      <c r="E21" s="11" t="s">
        <v>230</v>
      </c>
      <c r="F21" s="7" t="s">
        <v>260</v>
      </c>
    </row>
    <row r="22" ht="15.75" customHeight="1">
      <c r="A22" s="7" t="s">
        <v>146</v>
      </c>
      <c r="B22" s="7" t="s">
        <v>147</v>
      </c>
      <c r="C22" s="7" t="s">
        <v>149</v>
      </c>
      <c r="D22" s="11" t="s">
        <v>9</v>
      </c>
      <c r="E22" s="11" t="s">
        <v>241</v>
      </c>
      <c r="F22" s="7" t="s">
        <v>231</v>
      </c>
    </row>
    <row r="23" ht="15.75" customHeight="1">
      <c r="A23" s="7" t="s">
        <v>150</v>
      </c>
      <c r="B23" s="7" t="s">
        <v>147</v>
      </c>
      <c r="C23" s="7" t="s">
        <v>152</v>
      </c>
      <c r="D23" s="11" t="s">
        <v>9</v>
      </c>
      <c r="E23" s="11" t="s">
        <v>233</v>
      </c>
      <c r="F23" s="7" t="s">
        <v>260</v>
      </c>
    </row>
    <row r="24" ht="15.75" customHeight="1">
      <c r="A24" s="7" t="s">
        <v>158</v>
      </c>
      <c r="B24" s="7" t="s">
        <v>147</v>
      </c>
      <c r="C24" s="7" t="s">
        <v>160</v>
      </c>
      <c r="D24" s="11" t="s">
        <v>9</v>
      </c>
      <c r="E24" s="11" t="s">
        <v>230</v>
      </c>
      <c r="F24" s="7" t="s">
        <v>261</v>
      </c>
    </row>
    <row r="25" ht="15.75" customHeight="1">
      <c r="A25" s="7" t="s">
        <v>162</v>
      </c>
      <c r="B25" s="7" t="s">
        <v>147</v>
      </c>
      <c r="C25" s="7" t="s">
        <v>164</v>
      </c>
      <c r="D25" s="11" t="s">
        <v>9</v>
      </c>
      <c r="E25" s="11" t="s">
        <v>230</v>
      </c>
      <c r="F25" s="7" t="s">
        <v>231</v>
      </c>
    </row>
    <row r="26" ht="15.75" customHeight="1">
      <c r="A26" s="7" t="s">
        <v>166</v>
      </c>
      <c r="B26" s="7" t="s">
        <v>147</v>
      </c>
      <c r="C26" s="7" t="s">
        <v>167</v>
      </c>
      <c r="D26" s="11" t="s">
        <v>9</v>
      </c>
      <c r="E26" s="11" t="s">
        <v>233</v>
      </c>
      <c r="F26" s="7" t="s">
        <v>234</v>
      </c>
    </row>
    <row r="27" ht="15.75" customHeight="1">
      <c r="A27" s="7" t="s">
        <v>168</v>
      </c>
      <c r="B27" s="7" t="s">
        <v>169</v>
      </c>
      <c r="C27" s="7" t="s">
        <v>170</v>
      </c>
      <c r="D27" s="11" t="s">
        <v>14</v>
      </c>
      <c r="E27" s="11" t="s">
        <v>241</v>
      </c>
      <c r="F27" s="7" t="s">
        <v>247</v>
      </c>
      <c r="G27" s="7" t="s">
        <v>251</v>
      </c>
    </row>
    <row r="28" ht="15.75" customHeight="1">
      <c r="A28" s="7" t="s">
        <v>171</v>
      </c>
      <c r="B28" s="7" t="s">
        <v>169</v>
      </c>
      <c r="C28" s="7" t="s">
        <v>172</v>
      </c>
      <c r="D28" s="11" t="s">
        <v>19</v>
      </c>
      <c r="E28" s="11" t="s">
        <v>233</v>
      </c>
      <c r="F28" s="7" t="s">
        <v>235</v>
      </c>
      <c r="G28" s="7" t="s">
        <v>253</v>
      </c>
    </row>
    <row r="29" ht="15.75" customHeight="1">
      <c r="A29" s="7" t="s">
        <v>173</v>
      </c>
      <c r="B29" s="7" t="s">
        <v>169</v>
      </c>
      <c r="C29" s="7" t="s">
        <v>174</v>
      </c>
      <c r="D29" s="11" t="s">
        <v>9</v>
      </c>
      <c r="E29" s="11" t="s">
        <v>233</v>
      </c>
      <c r="F29" s="7" t="s">
        <v>234</v>
      </c>
    </row>
    <row r="30" ht="15.75" customHeight="1">
      <c r="A30" s="7" t="s">
        <v>177</v>
      </c>
      <c r="B30" s="7" t="s">
        <v>169</v>
      </c>
      <c r="C30" s="7" t="s">
        <v>179</v>
      </c>
      <c r="D30" s="11" t="s">
        <v>14</v>
      </c>
      <c r="E30" s="11" t="s">
        <v>230</v>
      </c>
      <c r="F30" s="7" t="s">
        <v>263</v>
      </c>
      <c r="G30" s="7" t="s">
        <v>244</v>
      </c>
    </row>
    <row r="31" ht="15.75" customHeight="1">
      <c r="A31" s="7" t="s">
        <v>183</v>
      </c>
      <c r="B31" s="7" t="s">
        <v>184</v>
      </c>
      <c r="C31" s="7" t="s">
        <v>186</v>
      </c>
      <c r="D31" s="11" t="s">
        <v>9</v>
      </c>
      <c r="E31" s="11" t="s">
        <v>233</v>
      </c>
      <c r="F31" s="7" t="s">
        <v>231</v>
      </c>
    </row>
    <row r="32" ht="15.75" customHeight="1">
      <c r="A32" s="7" t="s">
        <v>190</v>
      </c>
      <c r="B32" s="7" t="s">
        <v>184</v>
      </c>
      <c r="C32" s="7" t="s">
        <v>192</v>
      </c>
      <c r="D32" s="11" t="s">
        <v>9</v>
      </c>
      <c r="E32" s="11" t="s">
        <v>233</v>
      </c>
      <c r="F32" s="7" t="s">
        <v>231</v>
      </c>
    </row>
    <row r="33" ht="15.75" customHeight="1">
      <c r="A33" s="7" t="s">
        <v>197</v>
      </c>
      <c r="B33" s="7" t="s">
        <v>184</v>
      </c>
      <c r="C33" s="7" t="s">
        <v>200</v>
      </c>
      <c r="D33" s="11" t="s">
        <v>14</v>
      </c>
      <c r="E33" s="11" t="s">
        <v>241</v>
      </c>
      <c r="F33" s="7" t="s">
        <v>265</v>
      </c>
      <c r="G33" s="7" t="s">
        <v>236</v>
      </c>
    </row>
    <row r="34" ht="15.75" customHeight="1">
      <c r="A34" s="7" t="s">
        <v>206</v>
      </c>
      <c r="B34" s="7" t="s">
        <v>207</v>
      </c>
      <c r="C34" s="7" t="s">
        <v>209</v>
      </c>
      <c r="D34" s="11" t="s">
        <v>9</v>
      </c>
      <c r="E34" s="11" t="s">
        <v>238</v>
      </c>
      <c r="F34" s="7" t="s">
        <v>234</v>
      </c>
    </row>
    <row r="35" ht="15.75" customHeight="1">
      <c r="A35" s="7" t="s">
        <v>214</v>
      </c>
      <c r="B35" s="7" t="s">
        <v>207</v>
      </c>
      <c r="C35" s="7" t="s">
        <v>215</v>
      </c>
      <c r="D35" s="11" t="s">
        <v>9</v>
      </c>
      <c r="E35" s="11" t="s">
        <v>238</v>
      </c>
      <c r="F35" s="7" t="s">
        <v>231</v>
      </c>
    </row>
    <row r="36" ht="15.75" customHeight="1">
      <c r="A36" s="7" t="s">
        <v>216</v>
      </c>
      <c r="B36" s="7" t="s">
        <v>207</v>
      </c>
      <c r="C36" s="7" t="s">
        <v>217</v>
      </c>
      <c r="D36" s="11" t="s">
        <v>19</v>
      </c>
      <c r="E36" s="11" t="s">
        <v>233</v>
      </c>
      <c r="F36" s="7" t="s">
        <v>266</v>
      </c>
      <c r="G36" s="7" t="s">
        <v>251</v>
      </c>
    </row>
    <row r="37" ht="15.75" customHeight="1">
      <c r="A37" s="7" t="s">
        <v>218</v>
      </c>
      <c r="B37" s="7" t="s">
        <v>207</v>
      </c>
      <c r="C37" s="7" t="s">
        <v>219</v>
      </c>
      <c r="D37" s="11" t="s">
        <v>9</v>
      </c>
      <c r="E37" s="11" t="s">
        <v>241</v>
      </c>
      <c r="F37" s="7" t="s">
        <v>234</v>
      </c>
    </row>
    <row r="38" ht="15.75" customHeight="1">
      <c r="A38" s="7" t="s">
        <v>220</v>
      </c>
      <c r="B38" s="7" t="s">
        <v>221</v>
      </c>
      <c r="C38" s="7" t="s">
        <v>222</v>
      </c>
      <c r="D38" s="11" t="s">
        <v>9</v>
      </c>
      <c r="E38" s="11" t="s">
        <v>230</v>
      </c>
      <c r="F38" s="7" t="s">
        <v>234</v>
      </c>
    </row>
    <row r="39" ht="15.75" customHeight="1">
      <c r="A39" s="7" t="s">
        <v>223</v>
      </c>
      <c r="B39" s="7" t="s">
        <v>221</v>
      </c>
      <c r="C39" s="7" t="s">
        <v>224</v>
      </c>
      <c r="D39" s="11" t="s">
        <v>9</v>
      </c>
      <c r="E39" s="11" t="s">
        <v>241</v>
      </c>
      <c r="F39" s="7" t="s">
        <v>231</v>
      </c>
    </row>
    <row r="40" ht="15.75" customHeight="1">
      <c r="A40" s="7" t="s">
        <v>225</v>
      </c>
      <c r="B40" s="7" t="s">
        <v>221</v>
      </c>
      <c r="C40" s="7" t="s">
        <v>226</v>
      </c>
      <c r="D40" s="11" t="s">
        <v>14</v>
      </c>
      <c r="E40" s="11" t="s">
        <v>230</v>
      </c>
      <c r="F40" s="7" t="s">
        <v>267</v>
      </c>
      <c r="G40" s="7" t="s">
        <v>253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40">
      <formula1>"R,D,I,O"</formula1>
    </dataValidation>
    <dataValidation type="list" allowBlank="1" showDropDown="1" showErrorMessage="1" sqref="D2:D40">
      <formula1>"C,MAJ,N/A,MIN"</formula1>
    </dataValidation>
  </dataValidations>
  <hyperlinks>
    <hyperlink r:id="rId1" location="watch-demo" ref="J17"/>
    <hyperlink r:id="rId2" ref="J18"/>
  </hyperlinks>
  <printOptions/>
  <pageMargins bottom="1.0" footer="0.0" header="0.0" left="0.75" right="0.75" top="1.0"/>
  <pageSetup orientation="landscape"/>
  <drawing r:id="rId3"/>
  <tableParts count="1"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32.0"/>
    <col customWidth="1" min="3" max="3" width="16.0"/>
    <col customWidth="1" min="4" max="4" width="23.29"/>
    <col customWidth="1" min="5" max="5" width="135.86"/>
    <col customWidth="1" min="6" max="6" width="18.0"/>
    <col customWidth="1" min="7" max="26" width="8.71"/>
  </cols>
  <sheetData>
    <row r="1" ht="22.5" customHeight="1">
      <c r="A1" s="6" t="s">
        <v>48</v>
      </c>
      <c r="B1" s="6" t="s">
        <v>49</v>
      </c>
      <c r="C1" s="6" t="s">
        <v>51</v>
      </c>
      <c r="D1" s="6" t="s">
        <v>52</v>
      </c>
      <c r="E1" s="6" t="s">
        <v>54</v>
      </c>
      <c r="F1" s="6" t="s">
        <v>55</v>
      </c>
    </row>
    <row r="2" ht="22.5" customHeight="1">
      <c r="A2" s="7" t="s">
        <v>56</v>
      </c>
      <c r="B2" s="7" t="s">
        <v>57</v>
      </c>
      <c r="C2" s="11" t="s">
        <v>14</v>
      </c>
      <c r="D2" s="11" t="s">
        <v>238</v>
      </c>
      <c r="E2" s="7" t="s">
        <v>239</v>
      </c>
      <c r="F2" s="7" t="s">
        <v>240</v>
      </c>
    </row>
    <row r="3" ht="22.5" customHeight="1">
      <c r="A3" s="7" t="s">
        <v>61</v>
      </c>
      <c r="B3" s="7" t="s">
        <v>62</v>
      </c>
      <c r="C3" s="11" t="s">
        <v>9</v>
      </c>
      <c r="D3" s="11" t="s">
        <v>230</v>
      </c>
      <c r="E3" s="7" t="s">
        <v>245</v>
      </c>
    </row>
    <row r="4" ht="22.5" customHeight="1">
      <c r="A4" s="7" t="s">
        <v>65</v>
      </c>
      <c r="B4" s="7" t="s">
        <v>66</v>
      </c>
      <c r="C4" s="11" t="s">
        <v>19</v>
      </c>
      <c r="D4" s="11" t="s">
        <v>238</v>
      </c>
      <c r="E4" s="7" t="s">
        <v>249</v>
      </c>
      <c r="F4" s="7" t="s">
        <v>251</v>
      </c>
    </row>
    <row r="5" ht="22.5" customHeight="1">
      <c r="A5" s="7" t="s">
        <v>69</v>
      </c>
      <c r="B5" s="7" t="s">
        <v>70</v>
      </c>
      <c r="C5" s="11" t="s">
        <v>14</v>
      </c>
      <c r="D5" s="11" t="s">
        <v>230</v>
      </c>
      <c r="E5" s="7" t="s">
        <v>239</v>
      </c>
      <c r="F5" s="7" t="s">
        <v>253</v>
      </c>
    </row>
    <row r="6" ht="22.5" customHeight="1">
      <c r="A6" s="7" t="s">
        <v>73</v>
      </c>
      <c r="B6" s="7" t="s">
        <v>74</v>
      </c>
      <c r="C6" s="11" t="s">
        <v>14</v>
      </c>
      <c r="D6" s="11" t="s">
        <v>233</v>
      </c>
      <c r="E6" s="7" t="s">
        <v>239</v>
      </c>
      <c r="F6" s="7" t="s">
        <v>236</v>
      </c>
    </row>
    <row r="7" ht="22.5" customHeight="1">
      <c r="A7" s="7" t="s">
        <v>78</v>
      </c>
      <c r="B7" s="7" t="s">
        <v>79</v>
      </c>
      <c r="C7" s="11" t="s">
        <v>9</v>
      </c>
      <c r="D7" s="11" t="s">
        <v>238</v>
      </c>
      <c r="E7" s="7" t="s">
        <v>245</v>
      </c>
    </row>
    <row r="8" ht="22.5" customHeight="1">
      <c r="A8" s="7" t="s">
        <v>82</v>
      </c>
      <c r="B8" s="7" t="s">
        <v>83</v>
      </c>
      <c r="C8" s="11" t="s">
        <v>19</v>
      </c>
      <c r="D8" s="11" t="s">
        <v>233</v>
      </c>
      <c r="E8" s="7" t="s">
        <v>249</v>
      </c>
      <c r="F8" s="7" t="s">
        <v>240</v>
      </c>
    </row>
    <row r="9" ht="22.5" customHeight="1">
      <c r="A9" s="7" t="s">
        <v>86</v>
      </c>
      <c r="B9" s="7" t="s">
        <v>87</v>
      </c>
      <c r="C9" s="11" t="s">
        <v>14</v>
      </c>
      <c r="D9" s="11" t="s">
        <v>230</v>
      </c>
      <c r="E9" s="7" t="s">
        <v>258</v>
      </c>
      <c r="F9" s="7" t="s">
        <v>255</v>
      </c>
    </row>
    <row r="10" ht="22.5" customHeight="1">
      <c r="A10" s="7" t="s">
        <v>93</v>
      </c>
      <c r="B10" s="7" t="s">
        <v>94</v>
      </c>
      <c r="C10" s="11" t="s">
        <v>19</v>
      </c>
      <c r="D10" s="11" t="s">
        <v>233</v>
      </c>
      <c r="E10" s="7" t="s">
        <v>249</v>
      </c>
      <c r="F10" s="7" t="s">
        <v>244</v>
      </c>
    </row>
    <row r="11" ht="22.5" customHeight="1">
      <c r="A11" s="7" t="s">
        <v>97</v>
      </c>
      <c r="B11" s="7" t="s">
        <v>98</v>
      </c>
      <c r="C11" s="11" t="s">
        <v>19</v>
      </c>
      <c r="D11" s="11" t="s">
        <v>238</v>
      </c>
      <c r="E11" s="7" t="s">
        <v>259</v>
      </c>
      <c r="F11" s="7" t="s">
        <v>244</v>
      </c>
    </row>
    <row r="12" ht="22.5" customHeight="1">
      <c r="A12" s="7" t="s">
        <v>101</v>
      </c>
      <c r="B12" s="7" t="s">
        <v>102</v>
      </c>
      <c r="C12" s="11" t="s">
        <v>19</v>
      </c>
      <c r="D12" s="11" t="s">
        <v>230</v>
      </c>
      <c r="E12" s="7" t="s">
        <v>249</v>
      </c>
      <c r="F12" s="7" t="s">
        <v>240</v>
      </c>
    </row>
    <row r="13" ht="22.5" customHeight="1">
      <c r="A13" s="7" t="s">
        <v>107</v>
      </c>
      <c r="B13" s="7" t="s">
        <v>108</v>
      </c>
      <c r="C13" s="11" t="s">
        <v>14</v>
      </c>
      <c r="D13" s="11" t="s">
        <v>241</v>
      </c>
      <c r="E13" s="7" t="s">
        <v>239</v>
      </c>
      <c r="F13" s="7" t="s">
        <v>255</v>
      </c>
    </row>
    <row r="14" ht="22.5" customHeight="1">
      <c r="A14" s="7" t="s">
        <v>114</v>
      </c>
      <c r="B14" s="7" t="s">
        <v>115</v>
      </c>
      <c r="C14" s="11" t="s">
        <v>9</v>
      </c>
      <c r="D14" s="11" t="s">
        <v>238</v>
      </c>
      <c r="E14" s="7" t="s">
        <v>245</v>
      </c>
    </row>
    <row r="15" ht="22.5" customHeight="1">
      <c r="A15" s="7" t="s">
        <v>118</v>
      </c>
      <c r="B15" s="7" t="s">
        <v>120</v>
      </c>
      <c r="C15" s="11" t="s">
        <v>9</v>
      </c>
      <c r="D15" s="11" t="s">
        <v>233</v>
      </c>
      <c r="E15" s="7" t="s">
        <v>245</v>
      </c>
    </row>
    <row r="16" ht="22.5" customHeight="1">
      <c r="A16" s="7" t="s">
        <v>122</v>
      </c>
      <c r="B16" s="7" t="s">
        <v>123</v>
      </c>
      <c r="C16" s="11" t="s">
        <v>9</v>
      </c>
      <c r="D16" s="11" t="s">
        <v>233</v>
      </c>
      <c r="E16" s="7" t="s">
        <v>245</v>
      </c>
    </row>
    <row r="17" ht="22.5" customHeight="1">
      <c r="A17" s="7" t="s">
        <v>126</v>
      </c>
      <c r="B17" s="7" t="s">
        <v>128</v>
      </c>
      <c r="C17" s="11" t="s">
        <v>9</v>
      </c>
      <c r="D17" s="11" t="s">
        <v>230</v>
      </c>
      <c r="E17" s="7" t="s">
        <v>245</v>
      </c>
      <c r="I17" s="13" t="s">
        <v>262</v>
      </c>
    </row>
    <row r="18" ht="22.5" customHeight="1">
      <c r="A18" s="7" t="s">
        <v>134</v>
      </c>
      <c r="B18" s="7" t="s">
        <v>136</v>
      </c>
      <c r="C18" s="11" t="s">
        <v>14</v>
      </c>
      <c r="D18" s="11" t="s">
        <v>230</v>
      </c>
      <c r="E18" s="7" t="s">
        <v>239</v>
      </c>
      <c r="F18" s="7" t="s">
        <v>240</v>
      </c>
      <c r="I18" s="13" t="s">
        <v>264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18">
      <formula1>"MIN,C,MAJ"</formula1>
    </dataValidation>
    <dataValidation type="list" allowBlank="1" showDropDown="1" showErrorMessage="1" sqref="D2:D18">
      <formula1>"O,R,D,I"</formula1>
    </dataValidation>
  </dataValidations>
  <hyperlinks>
    <hyperlink r:id="rId1" location="watch-demo" ref="I17"/>
    <hyperlink r:id="rId2" ref="I18"/>
  </hyperlinks>
  <printOptions/>
  <pageMargins bottom="1.0" footer="0.0" header="0.0" left="0.75" right="0.75" top="1.0"/>
  <pageSetup orientation="landscape"/>
  <drawing r:id="rId3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96.29"/>
    <col customWidth="1" min="3" max="3" width="13.57"/>
    <col customWidth="1" min="4" max="4" width="17.0"/>
    <col customWidth="1" min="5" max="5" width="52.57"/>
    <col customWidth="1" min="6" max="6" width="17.29"/>
    <col customWidth="1" min="7" max="26" width="8.71"/>
  </cols>
  <sheetData>
    <row r="1" ht="22.5" customHeight="1">
      <c r="A1" s="6" t="s">
        <v>48</v>
      </c>
      <c r="B1" s="6" t="s">
        <v>103</v>
      </c>
      <c r="C1" s="6" t="s">
        <v>105</v>
      </c>
      <c r="D1" s="6" t="s">
        <v>55</v>
      </c>
      <c r="E1" s="6" t="s">
        <v>109</v>
      </c>
      <c r="F1" s="6" t="s">
        <v>110</v>
      </c>
    </row>
    <row r="2" ht="22.5" customHeight="1">
      <c r="A2" s="7" t="s">
        <v>216</v>
      </c>
      <c r="B2" s="7" t="s">
        <v>268</v>
      </c>
      <c r="C2" s="7" t="s">
        <v>19</v>
      </c>
      <c r="D2" s="7" t="s">
        <v>251</v>
      </c>
      <c r="E2" s="7" t="s">
        <v>269</v>
      </c>
      <c r="F2" s="7" t="s">
        <v>270</v>
      </c>
    </row>
    <row r="3" ht="22.5" customHeight="1">
      <c r="A3" s="7" t="s">
        <v>225</v>
      </c>
      <c r="B3" s="7" t="s">
        <v>271</v>
      </c>
      <c r="C3" s="7" t="s">
        <v>14</v>
      </c>
      <c r="D3" s="7" t="s">
        <v>253</v>
      </c>
      <c r="E3" s="7" t="s">
        <v>272</v>
      </c>
      <c r="F3" s="7" t="s">
        <v>273</v>
      </c>
    </row>
    <row r="4" ht="22.5" customHeight="1">
      <c r="A4" s="7" t="s">
        <v>97</v>
      </c>
      <c r="B4" s="7" t="s">
        <v>274</v>
      </c>
      <c r="C4" s="7" t="s">
        <v>19</v>
      </c>
      <c r="D4" s="7" t="s">
        <v>244</v>
      </c>
      <c r="E4" s="7" t="s">
        <v>275</v>
      </c>
      <c r="F4" s="7" t="s">
        <v>276</v>
      </c>
    </row>
    <row r="5" ht="22.5" customHeight="1">
      <c r="A5" s="7" t="s">
        <v>86</v>
      </c>
      <c r="B5" s="7" t="s">
        <v>277</v>
      </c>
      <c r="C5" s="7" t="s">
        <v>14</v>
      </c>
      <c r="D5" s="7" t="s">
        <v>255</v>
      </c>
      <c r="E5" s="7" t="s">
        <v>278</v>
      </c>
      <c r="F5" s="7" t="s">
        <v>279</v>
      </c>
    </row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>
      <c r="J17" s="13" t="s">
        <v>280</v>
      </c>
    </row>
    <row r="18" ht="22.5" customHeight="1">
      <c r="J18" s="13" t="s">
        <v>281</v>
      </c>
    </row>
    <row r="19" ht="22.5" customHeight="1"/>
    <row r="20" ht="22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watch-demo" ref="J17"/>
    <hyperlink r:id="rId2" ref="J18"/>
  </hyperlinks>
  <printOptions/>
  <pageMargins bottom="1.0" footer="0.0" header="0.0" left="0.75" right="0.75" top="1.0"/>
  <pageSetup orientation="landscape"/>
  <drawing r:id="rId3"/>
  <tableParts count="1">
    <tablePart r:id="rId5"/>
  </tableParts>
</worksheet>
</file>